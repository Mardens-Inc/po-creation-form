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rew.chase\Downloads\"/>
    </mc:Choice>
  </mc:AlternateContent>
  <xr:revisionPtr revIDLastSave="0" documentId="13_ncr:1_{F244B67B-A452-4B11-932D-1D4A3CDABBA6}" xr6:coauthVersionLast="47" xr6:coauthVersionMax="47" xr10:uidLastSave="{00000000-0000-0000-0000-000000000000}"/>
  <bookViews>
    <workbookView xWindow="28680" yWindow="-120" windowWidth="29040" windowHeight="15720" xr2:uid="{B4CD1F08-FF26-4C83-A946-4986F2AB5A5B}"/>
  </bookViews>
  <sheets>
    <sheet name="Purchase Order" sheetId="1" r:id="rId1"/>
    <sheet name="Categories Breakdown" sheetId="3" state="hidden" r:id="rId2"/>
    <sheet name="Furniture Flooring Buyer notes" sheetId="4" r:id="rId3"/>
    <sheet name="Cheat Sheet for Buyers" sheetId="6" r:id="rId4"/>
    <sheet name="DropDownLists" sheetId="5" state="hidden" r:id="rId5"/>
  </sheets>
  <definedNames>
    <definedName name="_xlnm._FilterDatabase" localSheetId="1" hidden="1">'Categories Breakdown'!$A$1:$E$363</definedName>
    <definedName name="_xlnm._FilterDatabase" localSheetId="3" hidden="1">'Cheat Sheet for Buyers'!$A$1:$C$6</definedName>
    <definedName name="Buyers">DropDownLists!$A$202:$A$225</definedName>
    <definedName name="DepartmentList">DropDownLists!$A$3:$A$60</definedName>
    <definedName name="LocationList">DropDownLists!$C$202:$C$220</definedName>
    <definedName name="WarehouseAddresses">WarehouseTable[Address]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2" i="5" l="1" a="1"/>
  <c r="C202" i="5" s="1"/>
  <c r="A202" i="5" a="1"/>
  <c r="A202" i="5" s="1"/>
  <c r="Y2" i="5" a="1"/>
  <c r="Y2" i="5" s="1"/>
  <c r="Y3" i="5" s="1" a="1"/>
  <c r="Y3" i="5" s="1"/>
  <c r="B3" i="5" a="1"/>
  <c r="B3" i="5" s="1"/>
  <c r="A3" i="5" a="1"/>
  <c r="A3" i="5" s="1"/>
  <c r="X3" i="5" a="1"/>
  <c r="X3" i="5" s="1"/>
  <c r="W3" i="5" a="1"/>
  <c r="W3" i="5" s="1"/>
  <c r="V3" i="5" a="1"/>
  <c r="V3" i="5" s="1"/>
  <c r="U3" i="5" a="1"/>
  <c r="U3" i="5" s="1"/>
  <c r="T3" i="5" a="1"/>
  <c r="T3" i="5" s="1"/>
  <c r="C2" i="5" a="1"/>
  <c r="C2" i="5" s="1"/>
  <c r="C3" i="5" s="1" a="1"/>
  <c r="C3" i="5" s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F3" i="5" l="1" a="1"/>
  <c r="FF3" i="5" s="1"/>
  <c r="AG3" i="5" a="1"/>
  <c r="AG3" i="5" s="1"/>
  <c r="AX3" i="5" a="1"/>
  <c r="AX3" i="5" s="1"/>
  <c r="AY3" i="5" a="1"/>
  <c r="AY3" i="5" s="1"/>
  <c r="BO3" i="5" a="1"/>
  <c r="BO3" i="5" s="1"/>
  <c r="CU3" i="5" a="1"/>
  <c r="CU3" i="5" s="1"/>
  <c r="DK3" i="5" a="1"/>
  <c r="DK3" i="5" s="1"/>
  <c r="EA3" i="5" a="1"/>
  <c r="EA3" i="5" s="1"/>
  <c r="EQ3" i="5" a="1"/>
  <c r="EQ3" i="5" s="1"/>
  <c r="AJ3" i="5" a="1"/>
  <c r="AJ3" i="5" s="1"/>
  <c r="AZ3" i="5" a="1"/>
  <c r="AZ3" i="5" s="1"/>
  <c r="BP3" i="5" a="1"/>
  <c r="BP3" i="5" s="1"/>
  <c r="CF3" i="5" a="1"/>
  <c r="CF3" i="5" s="1"/>
  <c r="CV3" i="5" a="1"/>
  <c r="CV3" i="5" s="1"/>
  <c r="DL3" i="5" a="1"/>
  <c r="DL3" i="5" s="1"/>
  <c r="EB3" i="5" a="1"/>
  <c r="EB3" i="5" s="1"/>
  <c r="ER3" i="5" a="1"/>
  <c r="ER3" i="5" s="1"/>
  <c r="AK3" i="5" a="1"/>
  <c r="AK3" i="5" s="1"/>
  <c r="BA3" i="5" a="1"/>
  <c r="BA3" i="5" s="1"/>
  <c r="BQ3" i="5" a="1"/>
  <c r="BQ3" i="5" s="1"/>
  <c r="CG3" i="5" a="1"/>
  <c r="CG3" i="5" s="1"/>
  <c r="CW3" i="5" a="1"/>
  <c r="CW3" i="5" s="1"/>
  <c r="DM3" i="5" a="1"/>
  <c r="DM3" i="5" s="1"/>
  <c r="EC3" i="5" a="1"/>
  <c r="EC3" i="5" s="1"/>
  <c r="ES3" i="5" a="1"/>
  <c r="ES3" i="5" s="1"/>
  <c r="AL3" i="5" a="1"/>
  <c r="AL3" i="5" s="1"/>
  <c r="BB3" i="5" a="1"/>
  <c r="BB3" i="5" s="1"/>
  <c r="BR3" i="5" a="1"/>
  <c r="BR3" i="5" s="1"/>
  <c r="CH3" i="5" a="1"/>
  <c r="CH3" i="5" s="1"/>
  <c r="CX3" i="5" a="1"/>
  <c r="CX3" i="5" s="1"/>
  <c r="DN3" i="5" a="1"/>
  <c r="DN3" i="5" s="1"/>
  <c r="ED3" i="5" a="1"/>
  <c r="ED3" i="5" s="1"/>
  <c r="ET3" i="5" a="1"/>
  <c r="ET3" i="5" s="1"/>
  <c r="AM3" i="5" a="1"/>
  <c r="AM3" i="5" s="1"/>
  <c r="BC3" i="5" a="1"/>
  <c r="BC3" i="5" s="1"/>
  <c r="BS3" i="5" a="1"/>
  <c r="BS3" i="5" s="1"/>
  <c r="CI3" i="5" a="1"/>
  <c r="CI3" i="5" s="1"/>
  <c r="CY3" i="5" a="1"/>
  <c r="CY3" i="5" s="1"/>
  <c r="DO3" i="5" a="1"/>
  <c r="DO3" i="5" s="1"/>
  <c r="EE3" i="5" a="1"/>
  <c r="EE3" i="5" s="1"/>
  <c r="EU3" i="5" a="1"/>
  <c r="EU3" i="5" s="1"/>
  <c r="BN3" i="5" a="1"/>
  <c r="BN3" i="5" s="1"/>
  <c r="BT3" i="5" a="1"/>
  <c r="BT3" i="5" s="1"/>
  <c r="CJ3" i="5" a="1"/>
  <c r="CJ3" i="5" s="1"/>
  <c r="CZ3" i="5" a="1"/>
  <c r="CZ3" i="5" s="1"/>
  <c r="DP3" i="5" a="1"/>
  <c r="DP3" i="5" s="1"/>
  <c r="EF3" i="5" a="1"/>
  <c r="EF3" i="5" s="1"/>
  <c r="EV3" i="5" a="1"/>
  <c r="EV3" i="5" s="1"/>
  <c r="AI3" i="5" a="1"/>
  <c r="AI3" i="5" s="1"/>
  <c r="BE3" i="5" a="1"/>
  <c r="BE3" i="5" s="1"/>
  <c r="BU3" i="5" a="1"/>
  <c r="BU3" i="5" s="1"/>
  <c r="CK3" i="5" a="1"/>
  <c r="CK3" i="5" s="1"/>
  <c r="DA3" i="5" a="1"/>
  <c r="DA3" i="5" s="1"/>
  <c r="DQ3" i="5" a="1"/>
  <c r="DQ3" i="5" s="1"/>
  <c r="EG3" i="5" a="1"/>
  <c r="EG3" i="5" s="1"/>
  <c r="EW3" i="5" a="1"/>
  <c r="EW3" i="5" s="1"/>
  <c r="AW3" i="5" a="1"/>
  <c r="AW3" i="5" s="1"/>
  <c r="CE3" i="5" a="1"/>
  <c r="CE3" i="5" s="1"/>
  <c r="Z3" i="5" a="1"/>
  <c r="Z3" i="5" s="1"/>
  <c r="DB3" i="5" a="1"/>
  <c r="DB3" i="5" s="1"/>
  <c r="DR3" i="5" a="1"/>
  <c r="DR3" i="5" s="1"/>
  <c r="EH3" i="5" a="1"/>
  <c r="EH3" i="5" s="1"/>
  <c r="EX3" i="5" a="1"/>
  <c r="EX3" i="5" s="1"/>
  <c r="AN3" i="5" a="1"/>
  <c r="AN3" i="5" s="1"/>
  <c r="BF3" i="5" a="1"/>
  <c r="BF3" i="5" s="1"/>
  <c r="AQ3" i="5" a="1"/>
  <c r="AQ3" i="5" s="1"/>
  <c r="CM3" i="5" a="1"/>
  <c r="CM3" i="5" s="1"/>
  <c r="DC3" i="5" a="1"/>
  <c r="DC3" i="5" s="1"/>
  <c r="DS3" i="5" a="1"/>
  <c r="DS3" i="5" s="1"/>
  <c r="EI3" i="5" a="1"/>
  <c r="EI3" i="5" s="1"/>
  <c r="EY3" i="5" a="1"/>
  <c r="EY3" i="5" s="1"/>
  <c r="BD3" i="5" a="1"/>
  <c r="BD3" i="5" s="1"/>
  <c r="AO3" i="5" a="1"/>
  <c r="AO3" i="5" s="1"/>
  <c r="AP3" i="5" a="1"/>
  <c r="AP3" i="5" s="1"/>
  <c r="BV3" i="5" a="1"/>
  <c r="BV3" i="5" s="1"/>
  <c r="CL3" i="5" a="1"/>
  <c r="CL3" i="5" s="1"/>
  <c r="AA3" i="5" a="1"/>
  <c r="AA3" i="5" s="1"/>
  <c r="BG3" i="5" a="1"/>
  <c r="BG3" i="5" s="1"/>
  <c r="BW3" i="5" a="1"/>
  <c r="BW3" i="5" s="1"/>
  <c r="AB3" i="5" a="1"/>
  <c r="AB3" i="5" s="1"/>
  <c r="AR3" i="5" a="1"/>
  <c r="AR3" i="5" s="1"/>
  <c r="BH3" i="5" a="1"/>
  <c r="BH3" i="5" s="1"/>
  <c r="BX3" i="5" a="1"/>
  <c r="BX3" i="5" s="1"/>
  <c r="CN3" i="5" a="1"/>
  <c r="CN3" i="5" s="1"/>
  <c r="DD3" i="5" a="1"/>
  <c r="DD3" i="5" s="1"/>
  <c r="DT3" i="5" a="1"/>
  <c r="DT3" i="5" s="1"/>
  <c r="EJ3" i="5" a="1"/>
  <c r="EJ3" i="5" s="1"/>
  <c r="EZ3" i="5" a="1"/>
  <c r="EZ3" i="5" s="1"/>
  <c r="BY3" i="5" a="1"/>
  <c r="BY3" i="5" s="1"/>
  <c r="CO3" i="5" a="1"/>
  <c r="CO3" i="5" s="1"/>
  <c r="DE3" i="5" a="1"/>
  <c r="DE3" i="5" s="1"/>
  <c r="DU3" i="5" a="1"/>
  <c r="DU3" i="5" s="1"/>
  <c r="EK3" i="5" a="1"/>
  <c r="EK3" i="5" s="1"/>
  <c r="FA3" i="5" a="1"/>
  <c r="FA3" i="5" s="1"/>
  <c r="AH3" i="5" a="1"/>
  <c r="AH3" i="5" s="1"/>
  <c r="AS3" i="5" a="1"/>
  <c r="AS3" i="5" s="1"/>
  <c r="AD3" i="5" a="1"/>
  <c r="AD3" i="5" s="1"/>
  <c r="AT3" i="5" a="1"/>
  <c r="AT3" i="5" s="1"/>
  <c r="BJ3" i="5" a="1"/>
  <c r="BJ3" i="5" s="1"/>
  <c r="BZ3" i="5" a="1"/>
  <c r="BZ3" i="5" s="1"/>
  <c r="CP3" i="5" a="1"/>
  <c r="CP3" i="5" s="1"/>
  <c r="DF3" i="5" a="1"/>
  <c r="DF3" i="5" s="1"/>
  <c r="DV3" i="5" a="1"/>
  <c r="DV3" i="5" s="1"/>
  <c r="EL3" i="5" a="1"/>
  <c r="EL3" i="5" s="1"/>
  <c r="FB3" i="5" a="1"/>
  <c r="FB3" i="5" s="1"/>
  <c r="AC3" i="5" a="1"/>
  <c r="AC3" i="5" s="1"/>
  <c r="BI3" i="5" a="1"/>
  <c r="BI3" i="5" s="1"/>
  <c r="AE3" i="5" a="1"/>
  <c r="AE3" i="5" s="1"/>
  <c r="AU3" i="5" a="1"/>
  <c r="AU3" i="5" s="1"/>
  <c r="BK3" i="5" a="1"/>
  <c r="BK3" i="5" s="1"/>
  <c r="CA3" i="5" a="1"/>
  <c r="CA3" i="5" s="1"/>
  <c r="CQ3" i="5" a="1"/>
  <c r="CQ3" i="5" s="1"/>
  <c r="DG3" i="5" a="1"/>
  <c r="DG3" i="5" s="1"/>
  <c r="DW3" i="5" a="1"/>
  <c r="DW3" i="5" s="1"/>
  <c r="EM3" i="5" a="1"/>
  <c r="EM3" i="5" s="1"/>
  <c r="FC3" i="5" a="1"/>
  <c r="FC3" i="5" s="1"/>
  <c r="AF3" i="5" a="1"/>
  <c r="AF3" i="5" s="1"/>
  <c r="AV3" i="5" a="1"/>
  <c r="AV3" i="5" s="1"/>
  <c r="BL3" i="5" a="1"/>
  <c r="BL3" i="5" s="1"/>
  <c r="CB3" i="5" a="1"/>
  <c r="CB3" i="5" s="1"/>
  <c r="CR3" i="5" a="1"/>
  <c r="CR3" i="5" s="1"/>
  <c r="DH3" i="5" a="1"/>
  <c r="DH3" i="5" s="1"/>
  <c r="DX3" i="5" a="1"/>
  <c r="DX3" i="5" s="1"/>
  <c r="EN3" i="5" a="1"/>
  <c r="EN3" i="5" s="1"/>
  <c r="FD3" i="5" a="1"/>
  <c r="FD3" i="5" s="1"/>
  <c r="BM3" i="5" a="1"/>
  <c r="BM3" i="5" s="1"/>
  <c r="CC3" i="5" a="1"/>
  <c r="CC3" i="5" s="1"/>
  <c r="CS3" i="5" a="1"/>
  <c r="CS3" i="5" s="1"/>
  <c r="DI3" i="5" a="1"/>
  <c r="DI3" i="5" s="1"/>
  <c r="DY3" i="5" a="1"/>
  <c r="DY3" i="5" s="1"/>
  <c r="EO3" i="5" a="1"/>
  <c r="EO3" i="5" s="1"/>
  <c r="FE3" i="5" a="1"/>
  <c r="FE3" i="5" s="1"/>
  <c r="CD3" i="5" a="1"/>
  <c r="CD3" i="5" s="1"/>
  <c r="CT3" i="5" a="1"/>
  <c r="CT3" i="5" s="1"/>
  <c r="DJ3" i="5" a="1"/>
  <c r="DJ3" i="5" s="1"/>
  <c r="DZ3" i="5" a="1"/>
  <c r="DZ3" i="5" s="1"/>
  <c r="EP3" i="5" a="1"/>
  <c r="EP3" i="5" s="1"/>
  <c r="S3" i="5" a="1"/>
  <c r="S3" i="5" s="1"/>
  <c r="R3" i="5" a="1"/>
  <c r="R3" i="5" s="1"/>
  <c r="Q3" i="5" a="1"/>
  <c r="Q3" i="5" s="1"/>
  <c r="F3" i="5" a="1"/>
  <c r="F3" i="5" s="1"/>
  <c r="G3" i="5" a="1"/>
  <c r="G3" i="5" s="1"/>
  <c r="I3" i="5" a="1"/>
  <c r="I3" i="5" s="1"/>
  <c r="J3" i="5" a="1"/>
  <c r="J3" i="5" s="1"/>
  <c r="K3" i="5" a="1"/>
  <c r="K3" i="5" s="1"/>
  <c r="L3" i="5" a="1"/>
  <c r="L3" i="5" s="1"/>
  <c r="M3" i="5" a="1"/>
  <c r="M3" i="5" s="1"/>
  <c r="N3" i="5" a="1"/>
  <c r="N3" i="5" s="1"/>
  <c r="O3" i="5" a="1"/>
  <c r="O3" i="5" s="1"/>
  <c r="D3" i="5" a="1"/>
  <c r="D3" i="5" s="1"/>
  <c r="E3" i="5" a="1"/>
  <c r="E3" i="5" s="1"/>
  <c r="H3" i="5" a="1"/>
  <c r="H3" i="5" s="1"/>
  <c r="P3" i="5" a="1"/>
  <c r="P3" i="5" s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</author>
  </authors>
  <commentList>
    <comment ref="N5" authorId="0" shapeId="0" xr:uid="{3137BCAD-E3F4-489B-B3A3-DD1230576872}">
      <text>
        <r>
          <rPr>
            <b/>
            <sz val="9"/>
            <color indexed="81"/>
            <rFont val="Tahoma"/>
            <family val="2"/>
          </rPr>
          <t>Notes:
Multi packs
For queue
Dated product
For Ad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<sst xmlns="http://schemas.openxmlformats.org/spreadsheetml/2006/main" count="1469" uniqueCount="605">
  <si>
    <t>BUYER:</t>
  </si>
  <si>
    <t>ROUTING:</t>
  </si>
  <si>
    <t>traffic@mardens.com</t>
  </si>
  <si>
    <t>INVOICES</t>
  </si>
  <si>
    <t>ap@mardens.com</t>
  </si>
  <si>
    <t>PO #:</t>
  </si>
  <si>
    <t>SHIP TO:</t>
  </si>
  <si>
    <t>SHIP FROM:</t>
  </si>
  <si>
    <t>VENDOR:</t>
  </si>
  <si>
    <t>TERMS:</t>
  </si>
  <si>
    <t>NOTES:</t>
  </si>
  <si>
    <t>ITEM #</t>
  </si>
  <si>
    <t>UPC</t>
  </si>
  <si>
    <t>DESCRIPTION</t>
  </si>
  <si>
    <t>CASE
PACK</t>
  </si>
  <si>
    <t>CASES</t>
  </si>
  <si>
    <t>QTY</t>
  </si>
  <si>
    <t>MARDENS 
COST</t>
  </si>
  <si>
    <t>MARDENS 
PRICE</t>
  </si>
  <si>
    <t>COMP RETAIL</t>
  </si>
  <si>
    <t>DEPARTMENT</t>
  </si>
  <si>
    <t>CATEGORY</t>
  </si>
  <si>
    <t>SUB CATEGORY</t>
  </si>
  <si>
    <t>SEASON/
Holiday</t>
  </si>
  <si>
    <t>BUYER NOTES</t>
  </si>
  <si>
    <t>Dept (ACCT CODE)</t>
  </si>
  <si>
    <t>Categories</t>
  </si>
  <si>
    <t>Sub-categories</t>
  </si>
  <si>
    <t>Notes</t>
  </si>
  <si>
    <t>Season</t>
  </si>
  <si>
    <t>Short Name</t>
  </si>
  <si>
    <t>Code</t>
  </si>
  <si>
    <t>Status</t>
  </si>
  <si>
    <t>Description</t>
  </si>
  <si>
    <t>Buyer</t>
  </si>
  <si>
    <t>Name</t>
  </si>
  <si>
    <t>Warehouse</t>
  </si>
  <si>
    <t>Location</t>
  </si>
  <si>
    <t>Clothing - CLO</t>
  </si>
  <si>
    <t>Baby - BABY</t>
  </si>
  <si>
    <t xml:space="preserve">Fall </t>
  </si>
  <si>
    <t>4th Quarter</t>
  </si>
  <si>
    <t>4TH-Q</t>
  </si>
  <si>
    <t>AD</t>
  </si>
  <si>
    <t>Ad Item</t>
  </si>
  <si>
    <t>AM</t>
  </si>
  <si>
    <t>Andrew Marden</t>
  </si>
  <si>
    <t>WIN</t>
  </si>
  <si>
    <t>Winslow</t>
  </si>
  <si>
    <t>Marketing / Promo</t>
  </si>
  <si>
    <t>Christmas</t>
  </si>
  <si>
    <t>CH</t>
  </si>
  <si>
    <t>ALL</t>
  </si>
  <si>
    <t>Split All</t>
  </si>
  <si>
    <t>BL</t>
  </si>
  <si>
    <t>Brandon Lowe</t>
  </si>
  <si>
    <t>LEW</t>
  </si>
  <si>
    <t>Lewiston Mill</t>
  </si>
  <si>
    <t xml:space="preserve">Spring </t>
  </si>
  <si>
    <t>Cinco De Mayo</t>
  </si>
  <si>
    <t>CINCO</t>
  </si>
  <si>
    <t>BAG</t>
  </si>
  <si>
    <t>Priced On Bag</t>
  </si>
  <si>
    <t>CW</t>
  </si>
  <si>
    <t>Charley Willey</t>
  </si>
  <si>
    <t>WTVL</t>
  </si>
  <si>
    <t>Wtvl - 50 Industrial</t>
  </si>
  <si>
    <t xml:space="preserve">Summer </t>
  </si>
  <si>
    <t>Father's Day</t>
  </si>
  <si>
    <t>DAD</t>
  </si>
  <si>
    <t>DATED</t>
  </si>
  <si>
    <t>Dated Item!!</t>
  </si>
  <si>
    <t>EB</t>
  </si>
  <si>
    <t>Elizabeth Beuthiaume</t>
  </si>
  <si>
    <t xml:space="preserve">Swim </t>
  </si>
  <si>
    <t>Easter</t>
  </si>
  <si>
    <t>EA</t>
  </si>
  <si>
    <t>HUNG</t>
  </si>
  <si>
    <t>Priced &amp; Hung</t>
  </si>
  <si>
    <t>HAM</t>
  </si>
  <si>
    <t>Ham Marden</t>
  </si>
  <si>
    <t>MULTI</t>
  </si>
  <si>
    <t>Multiple Warehouses</t>
  </si>
  <si>
    <t xml:space="preserve">Winter </t>
  </si>
  <si>
    <t>Fall</t>
  </si>
  <si>
    <t>FL</t>
  </si>
  <si>
    <t>INPRO</t>
  </si>
  <si>
    <t>In Process</t>
  </si>
  <si>
    <t>JM</t>
  </si>
  <si>
    <t>Jake Marden</t>
  </si>
  <si>
    <t>Boys - BOYS</t>
  </si>
  <si>
    <t xml:space="preserve">Back to School </t>
  </si>
  <si>
    <t>Halloween</t>
  </si>
  <si>
    <t>HAL</t>
  </si>
  <si>
    <t>MADE</t>
  </si>
  <si>
    <t>Split Made</t>
  </si>
  <si>
    <t>JM1</t>
  </si>
  <si>
    <t>John Marden</t>
  </si>
  <si>
    <t>4th of July</t>
  </si>
  <si>
    <t>JULY4</t>
  </si>
  <si>
    <t>QTR 1</t>
  </si>
  <si>
    <t>1st Quarter Split</t>
  </si>
  <si>
    <t>KC</t>
  </si>
  <si>
    <t>Ken Clark</t>
  </si>
  <si>
    <t>Mothers Day</t>
  </si>
  <si>
    <t>MOM</t>
  </si>
  <si>
    <t>QTR 2</t>
  </si>
  <si>
    <t>2nd Quarter Split</t>
  </si>
  <si>
    <t>Jon Martin</t>
  </si>
  <si>
    <t xml:space="preserve">Outerwear - JKT </t>
  </si>
  <si>
    <t>Back to School</t>
  </si>
  <si>
    <t>SCHL</t>
  </si>
  <si>
    <t>QTR 3</t>
  </si>
  <si>
    <t>3rd Quarter Split</t>
  </si>
  <si>
    <t xml:space="preserve">Outerwear - Pants </t>
  </si>
  <si>
    <t>Spring</t>
  </si>
  <si>
    <t>SP</t>
  </si>
  <si>
    <t>QTR 4</t>
  </si>
  <si>
    <t>4th Quarter Split</t>
  </si>
  <si>
    <t>St Patricks Day</t>
  </si>
  <si>
    <t>ST</t>
  </si>
  <si>
    <t>SOME</t>
  </si>
  <si>
    <t>Split Part Of Stock</t>
  </si>
  <si>
    <t>Summer</t>
  </si>
  <si>
    <t>SU</t>
  </si>
  <si>
    <t>SORT</t>
  </si>
  <si>
    <t>Sorted &amp; Worked</t>
  </si>
  <si>
    <t xml:space="preserve">Sweatshirts  / Sweatpants </t>
  </si>
  <si>
    <t>Thanksgiving</t>
  </si>
  <si>
    <t>THANK</t>
  </si>
  <si>
    <t>STORE</t>
  </si>
  <si>
    <t>Store Ready</t>
  </si>
  <si>
    <t>Transitional</t>
  </si>
  <si>
    <t>TRAN</t>
  </si>
  <si>
    <t>Valentines Day</t>
  </si>
  <si>
    <t>VA</t>
  </si>
  <si>
    <t>Girls - GIRLS</t>
  </si>
  <si>
    <t>Winter</t>
  </si>
  <si>
    <t>WI</t>
  </si>
  <si>
    <t xml:space="preserve">Hunting </t>
  </si>
  <si>
    <t xml:space="preserve">Maine Sweatshirts </t>
  </si>
  <si>
    <t xml:space="preserve">Adult </t>
  </si>
  <si>
    <t xml:space="preserve">Kids </t>
  </si>
  <si>
    <t>Mens - MENS</t>
  </si>
  <si>
    <t xml:space="preserve">Jean's </t>
  </si>
  <si>
    <t xml:space="preserve">School Uniforms </t>
  </si>
  <si>
    <t xml:space="preserve">Scrubs </t>
  </si>
  <si>
    <t>Womens - WOMEN</t>
  </si>
  <si>
    <t xml:space="preserve">Dresses </t>
  </si>
  <si>
    <t xml:space="preserve">Flannels </t>
  </si>
  <si>
    <t xml:space="preserve">Shorts </t>
  </si>
  <si>
    <r>
      <t xml:space="preserve">Consumables - </t>
    </r>
    <r>
      <rPr>
        <b/>
        <sz val="11"/>
        <color theme="1"/>
        <rFont val="Aptos Narrow"/>
        <family val="2"/>
        <scheme val="minor"/>
      </rPr>
      <t>CON</t>
    </r>
  </si>
  <si>
    <r>
      <t xml:space="preserve">Food - </t>
    </r>
    <r>
      <rPr>
        <b/>
        <sz val="11"/>
        <color theme="1"/>
        <rFont val="Aptos Narrow"/>
        <family val="2"/>
        <scheme val="minor"/>
      </rPr>
      <t>FOOD</t>
    </r>
  </si>
  <si>
    <r>
      <t>Candy-</t>
    </r>
    <r>
      <rPr>
        <b/>
        <sz val="11"/>
        <color rgb="FF000000"/>
        <rFont val="Calibri"/>
        <family val="2"/>
      </rPr>
      <t>CAND</t>
    </r>
    <r>
      <rPr>
        <sz val="11"/>
        <color rgb="FF000000"/>
        <rFont val="Calibri"/>
        <family val="2"/>
      </rPr>
      <t>Y</t>
    </r>
  </si>
  <si>
    <r>
      <t xml:space="preserve">Canned Goods - </t>
    </r>
    <r>
      <rPr>
        <b/>
        <sz val="11"/>
        <color rgb="FF000000"/>
        <rFont val="Calibri"/>
        <family val="2"/>
      </rPr>
      <t>CAN</t>
    </r>
  </si>
  <si>
    <r>
      <t xml:space="preserve">Grocery - </t>
    </r>
    <r>
      <rPr>
        <b/>
        <sz val="11"/>
        <color theme="1"/>
        <rFont val="Aptos Narrow"/>
        <family val="2"/>
        <scheme val="minor"/>
      </rPr>
      <t>GROC</t>
    </r>
  </si>
  <si>
    <r>
      <t xml:space="preserve">Jarred Goods - </t>
    </r>
    <r>
      <rPr>
        <b/>
        <sz val="11"/>
        <color rgb="FF000000"/>
        <rFont val="Calibri"/>
        <family val="2"/>
      </rPr>
      <t>JARS</t>
    </r>
  </si>
  <si>
    <r>
      <t xml:space="preserve">Snack - </t>
    </r>
    <r>
      <rPr>
        <b/>
        <sz val="11"/>
        <color rgb="FF000000"/>
        <rFont val="Calibri"/>
        <family val="2"/>
      </rPr>
      <t>SNACK</t>
    </r>
  </si>
  <si>
    <r>
      <t xml:space="preserve">HBC/HBA - </t>
    </r>
    <r>
      <rPr>
        <b/>
        <sz val="11"/>
        <rFont val="Aptos Narrow"/>
        <family val="2"/>
        <scheme val="minor"/>
      </rPr>
      <t>HBC</t>
    </r>
  </si>
  <si>
    <r>
      <t xml:space="preserve">Laundry - </t>
    </r>
    <r>
      <rPr>
        <b/>
        <sz val="11"/>
        <rFont val="Calibri"/>
        <family val="2"/>
      </rPr>
      <t>LAUN</t>
    </r>
  </si>
  <si>
    <r>
      <t xml:space="preserve">Paper Goods - </t>
    </r>
    <r>
      <rPr>
        <b/>
        <sz val="11"/>
        <rFont val="Aptos Narrow"/>
        <family val="2"/>
        <scheme val="minor"/>
      </rPr>
      <t>PAPER</t>
    </r>
  </si>
  <si>
    <r>
      <t xml:space="preserve">Cleaning Supplies - </t>
    </r>
    <r>
      <rPr>
        <b/>
        <sz val="11"/>
        <rFont val="Aptos Narrow"/>
        <family val="2"/>
        <scheme val="minor"/>
      </rPr>
      <t>CLEAN</t>
    </r>
  </si>
  <si>
    <r>
      <t xml:space="preserve">Domestics - </t>
    </r>
    <r>
      <rPr>
        <b/>
        <sz val="11"/>
        <color theme="1"/>
        <rFont val="Aptos Narrow"/>
        <family val="2"/>
        <scheme val="minor"/>
      </rPr>
      <t>DOM</t>
    </r>
  </si>
  <si>
    <r>
      <t xml:space="preserve">Blankets - </t>
    </r>
    <r>
      <rPr>
        <b/>
        <sz val="11"/>
        <rFont val="Aptos Narrow"/>
        <family val="2"/>
        <scheme val="minor"/>
      </rPr>
      <t>BLANK</t>
    </r>
  </si>
  <si>
    <t>Bedding</t>
  </si>
  <si>
    <t>Throw</t>
  </si>
  <si>
    <r>
      <t xml:space="preserve">Comforters - </t>
    </r>
    <r>
      <rPr>
        <b/>
        <sz val="11"/>
        <color theme="1"/>
        <rFont val="Aptos Narrow"/>
        <family val="2"/>
        <scheme val="minor"/>
      </rPr>
      <t>COMF</t>
    </r>
  </si>
  <si>
    <r>
      <t xml:space="preserve">Curtains/Drapes - </t>
    </r>
    <r>
      <rPr>
        <b/>
        <sz val="11"/>
        <color theme="1"/>
        <rFont val="Aptos Narrow"/>
        <family val="2"/>
        <scheme val="minor"/>
      </rPr>
      <t>CURT</t>
    </r>
  </si>
  <si>
    <r>
      <t xml:space="preserve">Pillows - </t>
    </r>
    <r>
      <rPr>
        <b/>
        <sz val="11"/>
        <color theme="1"/>
        <rFont val="Aptos Narrow"/>
        <family val="2"/>
        <scheme val="minor"/>
      </rPr>
      <t>PILLW</t>
    </r>
  </si>
  <si>
    <t>Bed</t>
  </si>
  <si>
    <t>Decorative</t>
  </si>
  <si>
    <r>
      <t xml:space="preserve">Sheets - </t>
    </r>
    <r>
      <rPr>
        <b/>
        <sz val="11"/>
        <color theme="1"/>
        <rFont val="Aptos Narrow"/>
        <family val="2"/>
        <scheme val="minor"/>
      </rPr>
      <t>SHEET</t>
    </r>
  </si>
  <si>
    <t>add sizing?</t>
  </si>
  <si>
    <r>
      <t xml:space="preserve">Throw Rugs - </t>
    </r>
    <r>
      <rPr>
        <b/>
        <sz val="11"/>
        <color theme="1"/>
        <rFont val="Aptos Narrow"/>
        <family val="2"/>
        <scheme val="minor"/>
      </rPr>
      <t>RUGS</t>
    </r>
  </si>
  <si>
    <r>
      <t xml:space="preserve">Towels - </t>
    </r>
    <r>
      <rPr>
        <b/>
        <sz val="11"/>
        <color theme="1"/>
        <rFont val="Aptos Narrow"/>
        <family val="2"/>
        <scheme val="minor"/>
      </rPr>
      <t>TOWEL</t>
    </r>
  </si>
  <si>
    <r>
      <t xml:space="preserve">Bath - </t>
    </r>
    <r>
      <rPr>
        <b/>
        <sz val="11"/>
        <color theme="1"/>
        <rFont val="Aptos Narrow"/>
        <family val="2"/>
        <scheme val="minor"/>
      </rPr>
      <t>BATH</t>
    </r>
  </si>
  <si>
    <r>
      <t xml:space="preserve">Beach - </t>
    </r>
    <r>
      <rPr>
        <b/>
        <sz val="11"/>
        <color theme="1"/>
        <rFont val="Aptos Narrow"/>
        <family val="2"/>
        <scheme val="minor"/>
      </rPr>
      <t>BEACH</t>
    </r>
  </si>
  <si>
    <r>
      <t xml:space="preserve">Dish Towels - </t>
    </r>
    <r>
      <rPr>
        <b/>
        <sz val="11"/>
        <color theme="1"/>
        <rFont val="Aptos Narrow"/>
        <family val="2"/>
        <scheme val="minor"/>
      </rPr>
      <t>DISH</t>
    </r>
  </si>
  <si>
    <r>
      <t xml:space="preserve">Hand - </t>
    </r>
    <r>
      <rPr>
        <b/>
        <sz val="11"/>
        <color theme="1"/>
        <rFont val="Aptos Narrow"/>
        <family val="2"/>
        <scheme val="minor"/>
      </rPr>
      <t>HAND</t>
    </r>
  </si>
  <si>
    <r>
      <t xml:space="preserve">Washcloths - </t>
    </r>
    <r>
      <rPr>
        <b/>
        <sz val="11"/>
        <color theme="1"/>
        <rFont val="Aptos Narrow"/>
        <family val="2"/>
        <scheme val="minor"/>
      </rPr>
      <t>WASH</t>
    </r>
  </si>
  <si>
    <r>
      <t xml:space="preserve">Fabric - </t>
    </r>
    <r>
      <rPr>
        <b/>
        <sz val="11"/>
        <color theme="1"/>
        <rFont val="Aptos Narrow"/>
        <family val="2"/>
        <scheme val="minor"/>
      </rPr>
      <t>FAB</t>
    </r>
  </si>
  <si>
    <r>
      <t xml:space="preserve">Fabric Yards - </t>
    </r>
    <r>
      <rPr>
        <b/>
        <sz val="11"/>
        <color theme="1"/>
        <rFont val="Aptos Narrow"/>
        <family val="2"/>
        <scheme val="minor"/>
      </rPr>
      <t>YARDS</t>
    </r>
  </si>
  <si>
    <r>
      <t xml:space="preserve">Cotton - </t>
    </r>
    <r>
      <rPr>
        <b/>
        <sz val="11"/>
        <color theme="1"/>
        <rFont val="Aptos Narrow"/>
        <family val="2"/>
        <scheme val="minor"/>
      </rPr>
      <t>COTTN</t>
    </r>
  </si>
  <si>
    <r>
      <t xml:space="preserve">Fashion - </t>
    </r>
    <r>
      <rPr>
        <b/>
        <sz val="11"/>
        <color theme="1"/>
        <rFont val="Aptos Narrow"/>
        <family val="2"/>
        <scheme val="minor"/>
      </rPr>
      <t>FASHN</t>
    </r>
  </si>
  <si>
    <r>
      <t xml:space="preserve">Fleece - </t>
    </r>
    <r>
      <rPr>
        <b/>
        <sz val="11"/>
        <color theme="1"/>
        <rFont val="Aptos Narrow"/>
        <family val="2"/>
        <scheme val="minor"/>
      </rPr>
      <t>FLEECE</t>
    </r>
  </si>
  <si>
    <r>
      <t xml:space="preserve">Home Décor - </t>
    </r>
    <r>
      <rPr>
        <b/>
        <sz val="11"/>
        <color theme="1"/>
        <rFont val="Aptos Narrow"/>
        <family val="2"/>
        <scheme val="minor"/>
      </rPr>
      <t>DÉCOR</t>
    </r>
  </si>
  <si>
    <r>
      <t xml:space="preserve">Notions - </t>
    </r>
    <r>
      <rPr>
        <b/>
        <sz val="11"/>
        <color theme="1"/>
        <rFont val="Aptos Narrow"/>
        <family val="2"/>
        <scheme val="minor"/>
      </rPr>
      <t>NOT</t>
    </r>
  </si>
  <si>
    <r>
      <t xml:space="preserve">Utility - </t>
    </r>
    <r>
      <rPr>
        <b/>
        <sz val="11"/>
        <color theme="1"/>
        <rFont val="Aptos Narrow"/>
        <family val="2"/>
        <scheme val="minor"/>
      </rPr>
      <t>UTIL</t>
    </r>
  </si>
  <si>
    <r>
      <t xml:space="preserve">Batting - </t>
    </r>
    <r>
      <rPr>
        <b/>
        <sz val="11"/>
        <color theme="1"/>
        <rFont val="Aptos Narrow"/>
        <family val="2"/>
        <scheme val="minor"/>
      </rPr>
      <t>BATNG</t>
    </r>
  </si>
  <si>
    <r>
      <t xml:space="preserve">Foam - </t>
    </r>
    <r>
      <rPr>
        <b/>
        <sz val="11"/>
        <color theme="1"/>
        <rFont val="Aptos Narrow"/>
        <family val="2"/>
        <scheme val="minor"/>
      </rPr>
      <t>FOAM</t>
    </r>
  </si>
  <si>
    <r>
      <t xml:space="preserve">Yarn - </t>
    </r>
    <r>
      <rPr>
        <b/>
        <sz val="11"/>
        <color theme="1"/>
        <rFont val="Aptos Narrow"/>
        <family val="2"/>
        <scheme val="minor"/>
      </rPr>
      <t>YARN</t>
    </r>
  </si>
  <si>
    <r>
      <t xml:space="preserve">Implements - </t>
    </r>
    <r>
      <rPr>
        <b/>
        <sz val="11"/>
        <rFont val="Aptos Narrow"/>
        <family val="2"/>
        <scheme val="minor"/>
      </rPr>
      <t>IMPLE</t>
    </r>
  </si>
  <si>
    <r>
      <t xml:space="preserve">Fabric - </t>
    </r>
    <r>
      <rPr>
        <b/>
        <sz val="11"/>
        <color rgb="FFFF0000"/>
        <rFont val="Aptos Narrow"/>
        <family val="2"/>
        <scheme val="minor"/>
      </rPr>
      <t>FAB</t>
    </r>
  </si>
  <si>
    <t>Monks Cloth</t>
  </si>
  <si>
    <t>Flooring</t>
  </si>
  <si>
    <t>Hardwood</t>
  </si>
  <si>
    <t>Finished</t>
  </si>
  <si>
    <t>Unfinished</t>
  </si>
  <si>
    <t>Vinyl Plank</t>
  </si>
  <si>
    <t>Click</t>
  </si>
  <si>
    <t>Glue Down</t>
  </si>
  <si>
    <t>Floating</t>
  </si>
  <si>
    <t>Laminated Plank</t>
  </si>
  <si>
    <t>Hybrid Plank</t>
  </si>
  <si>
    <t>Tile</t>
  </si>
  <si>
    <t>Ceramic</t>
  </si>
  <si>
    <t>Porcelain</t>
  </si>
  <si>
    <t>Carpet Tile</t>
  </si>
  <si>
    <t>Rugs</t>
  </si>
  <si>
    <t>Bound Rugs</t>
  </si>
  <si>
    <t>Scatter Rugs</t>
  </si>
  <si>
    <t>Runners</t>
  </si>
  <si>
    <t>Rolled Runners</t>
  </si>
  <si>
    <t>Area Rugs</t>
  </si>
  <si>
    <t>Patio Rugs</t>
  </si>
  <si>
    <t>Stair Treads</t>
  </si>
  <si>
    <t>Mats</t>
  </si>
  <si>
    <t>Interior</t>
  </si>
  <si>
    <t>Exterior</t>
  </si>
  <si>
    <t>Carpet</t>
  </si>
  <si>
    <t>Rolls</t>
  </si>
  <si>
    <t>Rems</t>
  </si>
  <si>
    <t>Vinyl</t>
  </si>
  <si>
    <t>Adhesive</t>
  </si>
  <si>
    <t>Pad</t>
  </si>
  <si>
    <t>Carpet Pad</t>
  </si>
  <si>
    <t>Laminate Pad</t>
  </si>
  <si>
    <t>Non-skid Pad</t>
  </si>
  <si>
    <t>Carpet Cores</t>
  </si>
  <si>
    <t>Furniture</t>
  </si>
  <si>
    <t>Living Room</t>
  </si>
  <si>
    <t>Sofas</t>
  </si>
  <si>
    <t>Sectionals</t>
  </si>
  <si>
    <t>Loveseats</t>
  </si>
  <si>
    <t>Recliners</t>
  </si>
  <si>
    <t>Armchairs</t>
  </si>
  <si>
    <t>Coffee/End Tables</t>
  </si>
  <si>
    <t>TV Stands/Entertainment Center</t>
  </si>
  <si>
    <t>Bookcases/Shelving Units</t>
  </si>
  <si>
    <t>Bedroom Furniture</t>
  </si>
  <si>
    <t>Bed - Twin</t>
  </si>
  <si>
    <t>Bed - Queen</t>
  </si>
  <si>
    <t>Bed - King</t>
  </si>
  <si>
    <t>Dressers/Chest of Drawers</t>
  </si>
  <si>
    <t>Nightstands</t>
  </si>
  <si>
    <t>Wardrobes/Armoires</t>
  </si>
  <si>
    <t>Dining Room</t>
  </si>
  <si>
    <t>Dining Tables</t>
  </si>
  <si>
    <t>Dining Chairs</t>
  </si>
  <si>
    <t>Buffets</t>
  </si>
  <si>
    <t>Sideboards</t>
  </si>
  <si>
    <t>Bar Cart/Wine Rack</t>
  </si>
  <si>
    <t>Counter-height Tables &amp; Stools</t>
  </si>
  <si>
    <t>Office Furniture</t>
  </si>
  <si>
    <t>Desks</t>
  </si>
  <si>
    <t>Office Chairs</t>
  </si>
  <si>
    <t>Filing Cabinets</t>
  </si>
  <si>
    <t>Bookcases</t>
  </si>
  <si>
    <t>Conference Tables</t>
  </si>
  <si>
    <t>Outdoor Furniture</t>
  </si>
  <si>
    <t>Patio Sets (Tables &amp; Chairs)</t>
  </si>
  <si>
    <t>Lounge Chairs</t>
  </si>
  <si>
    <t>Outdoor Sofas &amp; Sectionals</t>
  </si>
  <si>
    <t>Umbrellas &amp; Gazebos</t>
  </si>
  <si>
    <t>Storage Benches</t>
  </si>
  <si>
    <t>Accent Furniture</t>
  </si>
  <si>
    <t>Console Tables</t>
  </si>
  <si>
    <t>Ottomans &amp; Poufs</t>
  </si>
  <si>
    <t>Accent Chairs</t>
  </si>
  <si>
    <t>Hall Trees &amp; Coat Racks</t>
  </si>
  <si>
    <t>Storage Solutions</t>
  </si>
  <si>
    <t>Cabinets</t>
  </si>
  <si>
    <t>Shelving Units</t>
  </si>
  <si>
    <t>Shoe Racks</t>
  </si>
  <si>
    <t>Children's Furniture</t>
  </si>
  <si>
    <t>Cribs &amp; Toddler Beds</t>
  </si>
  <si>
    <t>Kids Desks &amp; Chairs</t>
  </si>
  <si>
    <t>Toy Storage</t>
  </si>
  <si>
    <t>Bunk Beds</t>
  </si>
  <si>
    <t>Décor &amp; Accessories</t>
  </si>
  <si>
    <t>Lamps &amp; Lighting</t>
  </si>
  <si>
    <t>Mirrors</t>
  </si>
  <si>
    <t>Wall Art</t>
  </si>
  <si>
    <t>Cushions &amp; Throws</t>
  </si>
  <si>
    <t>Mattresses</t>
  </si>
  <si>
    <t>Twin</t>
  </si>
  <si>
    <t>Twin XL</t>
  </si>
  <si>
    <t>Full/Double</t>
  </si>
  <si>
    <t>Queen</t>
  </si>
  <si>
    <t>King</t>
  </si>
  <si>
    <t>California King</t>
  </si>
  <si>
    <t>Bed Bases &amp; Frames</t>
  </si>
  <si>
    <t>Adjustable Bases</t>
  </si>
  <si>
    <t>Platform Beds</t>
  </si>
  <si>
    <t>Box Spring/Foundations</t>
  </si>
  <si>
    <t>Metal Frames</t>
  </si>
  <si>
    <t>Headboards &amp; Footboards</t>
  </si>
  <si>
    <t>Bedding &amp; Accessories</t>
  </si>
  <si>
    <t>Mattress Toppers (Foam, Latex, Feather, Cooling Gel)</t>
  </si>
  <si>
    <t>Mattress Protectors</t>
  </si>
  <si>
    <t>Sheets (Various sizes &amp; materials)</t>
  </si>
  <si>
    <t>Comforters &amp; Duvets</t>
  </si>
  <si>
    <t>Pillows (Memory foam, down, latex, cooling)</t>
  </si>
  <si>
    <t>Mattress Bags/Covers (for moving/storage)</t>
  </si>
  <si>
    <t>Cleaning Kits</t>
  </si>
  <si>
    <t>Bed Risers</t>
  </si>
  <si>
    <t>Under-bed Storage Solutions</t>
  </si>
  <si>
    <r>
      <t xml:space="preserve">General - </t>
    </r>
    <r>
      <rPr>
        <b/>
        <sz val="11"/>
        <color theme="1"/>
        <rFont val="Aptos Narrow"/>
        <family val="2"/>
        <scheme val="minor"/>
      </rPr>
      <t>GEN</t>
    </r>
  </si>
  <si>
    <r>
      <t xml:space="preserve">Art Supplies - </t>
    </r>
    <r>
      <rPr>
        <b/>
        <sz val="11"/>
        <color theme="1"/>
        <rFont val="Aptos Narrow"/>
        <family val="2"/>
        <scheme val="minor"/>
      </rPr>
      <t>ART</t>
    </r>
  </si>
  <si>
    <t>Arts</t>
  </si>
  <si>
    <t>Crafts</t>
  </si>
  <si>
    <t>Baby</t>
  </si>
  <si>
    <r>
      <t xml:space="preserve">Batteries - </t>
    </r>
    <r>
      <rPr>
        <b/>
        <sz val="11"/>
        <color theme="1"/>
        <rFont val="Aptos Narrow"/>
        <family val="2"/>
        <scheme val="minor"/>
      </rPr>
      <t>BATT</t>
    </r>
  </si>
  <si>
    <r>
      <t xml:space="preserve">BBQ Items - </t>
    </r>
    <r>
      <rPr>
        <b/>
        <sz val="11"/>
        <color theme="1"/>
        <rFont val="Aptos Narrow"/>
        <family val="2"/>
        <scheme val="minor"/>
      </rPr>
      <t>BBQ</t>
    </r>
  </si>
  <si>
    <r>
      <t xml:space="preserve">Books - </t>
    </r>
    <r>
      <rPr>
        <b/>
        <sz val="11"/>
        <color theme="1"/>
        <rFont val="Aptos Narrow"/>
        <family val="2"/>
        <scheme val="minor"/>
      </rPr>
      <t>BOOKS</t>
    </r>
  </si>
  <si>
    <t>Puzzle/Games</t>
  </si>
  <si>
    <t>Reading</t>
  </si>
  <si>
    <t>Cook</t>
  </si>
  <si>
    <r>
      <t xml:space="preserve">Camping - </t>
    </r>
    <r>
      <rPr>
        <b/>
        <sz val="11"/>
        <color theme="1"/>
        <rFont val="Aptos Narrow"/>
        <family val="2"/>
        <scheme val="minor"/>
      </rPr>
      <t>CAMP</t>
    </r>
  </si>
  <si>
    <r>
      <t xml:space="preserve">Sleeping Bags - </t>
    </r>
    <r>
      <rPr>
        <b/>
        <sz val="11"/>
        <color theme="1"/>
        <rFont val="Aptos Narrow"/>
        <family val="2"/>
        <scheme val="minor"/>
      </rPr>
      <t>SLEEP</t>
    </r>
  </si>
  <si>
    <r>
      <t xml:space="preserve">Tents/Shelters - </t>
    </r>
    <r>
      <rPr>
        <b/>
        <sz val="11"/>
        <color theme="1"/>
        <rFont val="Aptos Narrow"/>
        <family val="2"/>
        <scheme val="minor"/>
      </rPr>
      <t>TENT</t>
    </r>
  </si>
  <si>
    <r>
      <t xml:space="preserve">Candles - </t>
    </r>
    <r>
      <rPr>
        <b/>
        <sz val="11"/>
        <color theme="1"/>
        <rFont val="Aptos Narrow"/>
        <family val="2"/>
        <scheme val="minor"/>
      </rPr>
      <t>CAND</t>
    </r>
  </si>
  <si>
    <r>
      <t xml:space="preserve">Electronics - </t>
    </r>
    <r>
      <rPr>
        <b/>
        <sz val="11"/>
        <color theme="1"/>
        <rFont val="Aptos Narrow"/>
        <family val="2"/>
        <scheme val="minor"/>
      </rPr>
      <t>ELEC</t>
    </r>
  </si>
  <si>
    <r>
      <t xml:space="preserve">Floor Cleaners - </t>
    </r>
    <r>
      <rPr>
        <b/>
        <sz val="11"/>
        <color theme="1"/>
        <rFont val="Aptos Narrow"/>
        <family val="2"/>
        <scheme val="minor"/>
      </rPr>
      <t>FLCLN</t>
    </r>
  </si>
  <si>
    <r>
      <t xml:space="preserve">Frames - </t>
    </r>
    <r>
      <rPr>
        <b/>
        <sz val="11"/>
        <color theme="1"/>
        <rFont val="Aptos Narrow"/>
        <family val="2"/>
        <scheme val="minor"/>
      </rPr>
      <t>FRAME</t>
    </r>
  </si>
  <si>
    <t>Bows</t>
  </si>
  <si>
    <t>Wrap</t>
  </si>
  <si>
    <r>
      <t xml:space="preserve">Gift Bags - </t>
    </r>
    <r>
      <rPr>
        <b/>
        <sz val="11"/>
        <color theme="1"/>
        <rFont val="Aptos Narrow"/>
        <family val="2"/>
        <scheme val="minor"/>
      </rPr>
      <t>BAGS</t>
    </r>
  </si>
  <si>
    <r>
      <t xml:space="preserve">Gift Boxes - </t>
    </r>
    <r>
      <rPr>
        <b/>
        <sz val="11"/>
        <color theme="1"/>
        <rFont val="Aptos Narrow"/>
        <family val="2"/>
        <scheme val="minor"/>
      </rPr>
      <t>BOX</t>
    </r>
  </si>
  <si>
    <r>
      <t xml:space="preserve">Gift Tags - </t>
    </r>
    <r>
      <rPr>
        <b/>
        <sz val="11"/>
        <rFont val="Aptos Narrow"/>
        <family val="2"/>
        <scheme val="minor"/>
      </rPr>
      <t>TAGS</t>
    </r>
  </si>
  <si>
    <r>
      <t xml:space="preserve">Tissue Paper - </t>
    </r>
    <r>
      <rPr>
        <b/>
        <sz val="11"/>
        <color theme="1"/>
        <rFont val="Aptos Narrow"/>
        <family val="2"/>
        <scheme val="minor"/>
      </rPr>
      <t>TISS</t>
    </r>
  </si>
  <si>
    <r>
      <t xml:space="preserve">Greeting Cards - </t>
    </r>
    <r>
      <rPr>
        <b/>
        <sz val="11"/>
        <color theme="1"/>
        <rFont val="Aptos Narrow"/>
        <family val="2"/>
        <scheme val="minor"/>
      </rPr>
      <t>CARDS</t>
    </r>
  </si>
  <si>
    <r>
      <t xml:space="preserve">Luggage - </t>
    </r>
    <r>
      <rPr>
        <b/>
        <sz val="11"/>
        <rFont val="Aptos Narrow"/>
        <family val="2"/>
        <scheme val="minor"/>
      </rPr>
      <t>LUGG</t>
    </r>
  </si>
  <si>
    <r>
      <t xml:space="preserve">Bookbags- </t>
    </r>
    <r>
      <rPr>
        <b/>
        <sz val="11"/>
        <rFont val="Calibri"/>
        <family val="2"/>
      </rPr>
      <t>BKBG</t>
    </r>
  </si>
  <si>
    <r>
      <t xml:space="preserve">Suitcase- </t>
    </r>
    <r>
      <rPr>
        <b/>
        <sz val="11"/>
        <rFont val="Aptos Narrow"/>
        <family val="2"/>
        <scheme val="minor"/>
      </rPr>
      <t>SCSE</t>
    </r>
  </si>
  <si>
    <r>
      <t xml:space="preserve">Office Supplies - </t>
    </r>
    <r>
      <rPr>
        <b/>
        <sz val="11"/>
        <rFont val="Aptos Narrow"/>
        <family val="2"/>
        <scheme val="minor"/>
      </rPr>
      <t>OFFIC</t>
    </r>
  </si>
  <si>
    <r>
      <t xml:space="preserve">Outdoor- </t>
    </r>
    <r>
      <rPr>
        <b/>
        <sz val="11"/>
        <rFont val="Aptos Narrow"/>
        <family val="2"/>
        <scheme val="minor"/>
      </rPr>
      <t>OUTDR</t>
    </r>
  </si>
  <si>
    <r>
      <t xml:space="preserve">Décor- </t>
    </r>
    <r>
      <rPr>
        <b/>
        <sz val="11"/>
        <rFont val="Aptos Narrow"/>
        <family val="2"/>
        <scheme val="minor"/>
      </rPr>
      <t>LAWN</t>
    </r>
  </si>
  <si>
    <r>
      <t>Outdoor-</t>
    </r>
    <r>
      <rPr>
        <b/>
        <sz val="11"/>
        <rFont val="Aptos Narrow"/>
        <family val="2"/>
        <scheme val="minor"/>
      </rPr>
      <t xml:space="preserve"> OUTDR</t>
    </r>
  </si>
  <si>
    <r>
      <t xml:space="preserve">Pool Toys- </t>
    </r>
    <r>
      <rPr>
        <b/>
        <sz val="11"/>
        <rFont val="Aptos Narrow"/>
        <family val="2"/>
        <scheme val="minor"/>
      </rPr>
      <t>POOL</t>
    </r>
  </si>
  <si>
    <r>
      <t xml:space="preserve">Solar- </t>
    </r>
    <r>
      <rPr>
        <b/>
        <sz val="11"/>
        <rFont val="Aptos Narrow"/>
        <family val="2"/>
        <scheme val="minor"/>
      </rPr>
      <t>SOLAR</t>
    </r>
  </si>
  <si>
    <r>
      <t xml:space="preserve">Bird (Houses &amp; Feed) - </t>
    </r>
    <r>
      <rPr>
        <b/>
        <sz val="11"/>
        <rFont val="Aptos Narrow"/>
        <family val="2"/>
        <scheme val="minor"/>
      </rPr>
      <t>BIRD</t>
    </r>
  </si>
  <si>
    <r>
      <t xml:space="preserve">Party Goods - </t>
    </r>
    <r>
      <rPr>
        <b/>
        <sz val="11"/>
        <rFont val="Aptos Narrow"/>
        <family val="2"/>
        <scheme val="minor"/>
      </rPr>
      <t>PARTY</t>
    </r>
  </si>
  <si>
    <r>
      <t xml:space="preserve">Planters - </t>
    </r>
    <r>
      <rPr>
        <b/>
        <sz val="11"/>
        <rFont val="Aptos Narrow"/>
        <family val="2"/>
        <scheme val="minor"/>
      </rPr>
      <t>PLANT</t>
    </r>
  </si>
  <si>
    <r>
      <t xml:space="preserve">Plastics (Trash Bags, Ziploc Bags, etc.) - </t>
    </r>
    <r>
      <rPr>
        <b/>
        <sz val="11"/>
        <rFont val="Aptos Narrow"/>
        <family val="2"/>
        <scheme val="minor"/>
      </rPr>
      <t>PLAST</t>
    </r>
  </si>
  <si>
    <r>
      <t xml:space="preserve">Toys - </t>
    </r>
    <r>
      <rPr>
        <b/>
        <sz val="11"/>
        <rFont val="Aptos Narrow"/>
        <family val="2"/>
        <scheme val="minor"/>
      </rPr>
      <t>TOYS</t>
    </r>
  </si>
  <si>
    <r>
      <t xml:space="preserve">Bulk Toys- </t>
    </r>
    <r>
      <rPr>
        <b/>
        <sz val="11"/>
        <rFont val="Aptos Narrow"/>
        <family val="2"/>
        <scheme val="minor"/>
      </rPr>
      <t>BULK</t>
    </r>
  </si>
  <si>
    <r>
      <t xml:space="preserve">Toys - </t>
    </r>
    <r>
      <rPr>
        <b/>
        <sz val="11"/>
        <color theme="1"/>
        <rFont val="Aptos Narrow"/>
        <family val="2"/>
        <scheme val="minor"/>
      </rPr>
      <t>TOYS</t>
    </r>
  </si>
  <si>
    <r>
      <t xml:space="preserve">Indoor - </t>
    </r>
    <r>
      <rPr>
        <b/>
        <sz val="11"/>
        <color theme="1"/>
        <rFont val="Aptos Narrow"/>
        <family val="2"/>
        <scheme val="minor"/>
      </rPr>
      <t>INDR</t>
    </r>
  </si>
  <si>
    <r>
      <t xml:space="preserve">Puzzles - </t>
    </r>
    <r>
      <rPr>
        <b/>
        <sz val="11"/>
        <color theme="1"/>
        <rFont val="Aptos Narrow"/>
        <family val="2"/>
        <scheme val="minor"/>
      </rPr>
      <t>PUZZ</t>
    </r>
  </si>
  <si>
    <t>Wall</t>
  </si>
  <si>
    <r>
      <t xml:space="preserve">Art - </t>
    </r>
    <r>
      <rPr>
        <b/>
        <sz val="11"/>
        <color theme="1"/>
        <rFont val="Aptos Narrow"/>
        <family val="2"/>
        <scheme val="minor"/>
      </rPr>
      <t>WLART</t>
    </r>
  </si>
  <si>
    <r>
      <t xml:space="preserve">Clock - </t>
    </r>
    <r>
      <rPr>
        <b/>
        <sz val="11"/>
        <color theme="1"/>
        <rFont val="Aptos Narrow"/>
        <family val="2"/>
        <scheme val="minor"/>
      </rPr>
      <t>CLOCK</t>
    </r>
  </si>
  <si>
    <r>
      <t xml:space="preserve">Mirror - </t>
    </r>
    <r>
      <rPr>
        <b/>
        <sz val="11"/>
        <color theme="1"/>
        <rFont val="Aptos Narrow"/>
        <family val="2"/>
        <scheme val="minor"/>
      </rPr>
      <t>MIRR</t>
    </r>
  </si>
  <si>
    <r>
      <t xml:space="preserve">Hardware - </t>
    </r>
    <r>
      <rPr>
        <b/>
        <sz val="11"/>
        <color theme="1"/>
        <rFont val="Aptos Narrow"/>
        <family val="2"/>
        <scheme val="minor"/>
      </rPr>
      <t>HDW</t>
    </r>
  </si>
  <si>
    <r>
      <t xml:space="preserve">Automotive - </t>
    </r>
    <r>
      <rPr>
        <b/>
        <sz val="11"/>
        <color theme="1"/>
        <rFont val="Aptos Narrow"/>
        <family val="2"/>
        <scheme val="minor"/>
      </rPr>
      <t>AUTO</t>
    </r>
  </si>
  <si>
    <r>
      <t xml:space="preserve">Brush/Scraper - </t>
    </r>
    <r>
      <rPr>
        <b/>
        <sz val="11"/>
        <rFont val="Calibri"/>
        <family val="2"/>
      </rPr>
      <t>WINTR</t>
    </r>
  </si>
  <si>
    <r>
      <t xml:space="preserve">Detailing - </t>
    </r>
    <r>
      <rPr>
        <b/>
        <sz val="11"/>
        <rFont val="Calibri"/>
        <family val="2"/>
      </rPr>
      <t>DTAIL</t>
    </r>
  </si>
  <si>
    <r>
      <t xml:space="preserve">Floor Mats - </t>
    </r>
    <r>
      <rPr>
        <b/>
        <sz val="11"/>
        <rFont val="Calibri"/>
        <family val="2"/>
      </rPr>
      <t>MATS</t>
    </r>
  </si>
  <si>
    <r>
      <t xml:space="preserve">Fluids - </t>
    </r>
    <r>
      <rPr>
        <b/>
        <sz val="11"/>
        <rFont val="Calibri"/>
        <family val="2"/>
      </rPr>
      <t>FLUID</t>
    </r>
  </si>
  <si>
    <r>
      <t xml:space="preserve">Jumper Cables - </t>
    </r>
    <r>
      <rPr>
        <b/>
        <sz val="11"/>
        <rFont val="Calibri"/>
        <family val="2"/>
      </rPr>
      <t>CABLE</t>
    </r>
  </si>
  <si>
    <r>
      <t xml:space="preserve">Lubricants - </t>
    </r>
    <r>
      <rPr>
        <b/>
        <sz val="11"/>
        <rFont val="Calibri"/>
        <family val="2"/>
      </rPr>
      <t>LUBE</t>
    </r>
  </si>
  <si>
    <r>
      <t xml:space="preserve">Flashlights - </t>
    </r>
    <r>
      <rPr>
        <b/>
        <sz val="11"/>
        <color theme="1"/>
        <rFont val="Aptos Narrow"/>
        <family val="2"/>
        <scheme val="minor"/>
      </rPr>
      <t>FLASH</t>
    </r>
  </si>
  <si>
    <r>
      <t xml:space="preserve">Garden - </t>
    </r>
    <r>
      <rPr>
        <b/>
        <sz val="11"/>
        <color theme="1"/>
        <rFont val="Aptos Narrow"/>
        <family val="2"/>
        <scheme val="minor"/>
      </rPr>
      <t>GARD</t>
    </r>
  </si>
  <si>
    <r>
      <t xml:space="preserve">Fencing - </t>
    </r>
    <r>
      <rPr>
        <b/>
        <sz val="11"/>
        <rFont val="Calibri"/>
        <family val="2"/>
      </rPr>
      <t>FENCE</t>
    </r>
  </si>
  <si>
    <r>
      <t xml:space="preserve">Hand Tools - </t>
    </r>
    <r>
      <rPr>
        <b/>
        <sz val="11"/>
        <rFont val="Aptos Narrow"/>
        <family val="2"/>
        <scheme val="minor"/>
      </rPr>
      <t>GTOOL</t>
    </r>
  </si>
  <si>
    <r>
      <t xml:space="preserve">Hose - </t>
    </r>
    <r>
      <rPr>
        <b/>
        <sz val="11"/>
        <rFont val="Aptos Narrow"/>
        <family val="2"/>
        <scheme val="minor"/>
      </rPr>
      <t>HOSE</t>
    </r>
  </si>
  <si>
    <r>
      <t xml:space="preserve">Sprinklers, Nozzles - </t>
    </r>
    <r>
      <rPr>
        <b/>
        <sz val="11"/>
        <rFont val="Calibri"/>
        <family val="2"/>
      </rPr>
      <t>WATER</t>
    </r>
  </si>
  <si>
    <r>
      <t xml:space="preserve">Hand Tools - </t>
    </r>
    <r>
      <rPr>
        <b/>
        <sz val="11"/>
        <color theme="1"/>
        <rFont val="Aptos Narrow"/>
        <family val="2"/>
        <scheme val="minor"/>
      </rPr>
      <t>HAND</t>
    </r>
  </si>
  <si>
    <r>
      <t xml:space="preserve">Nuts &amp; Bolts - </t>
    </r>
    <r>
      <rPr>
        <b/>
        <sz val="11"/>
        <color theme="1"/>
        <rFont val="Aptos Narrow"/>
        <family val="2"/>
        <scheme val="minor"/>
      </rPr>
      <t>NNB</t>
    </r>
  </si>
  <si>
    <r>
      <t xml:space="preserve">Cable - </t>
    </r>
    <r>
      <rPr>
        <b/>
        <sz val="11"/>
        <color theme="1"/>
        <rFont val="Aptos Narrow"/>
        <family val="2"/>
        <scheme val="minor"/>
      </rPr>
      <t>CABLE</t>
    </r>
  </si>
  <si>
    <r>
      <t xml:space="preserve">Chain - </t>
    </r>
    <r>
      <rPr>
        <b/>
        <sz val="11"/>
        <color theme="1"/>
        <rFont val="Aptos Narrow"/>
        <family val="2"/>
        <scheme val="minor"/>
      </rPr>
      <t>CHAIN</t>
    </r>
  </si>
  <si>
    <r>
      <t xml:space="preserve">Paint - </t>
    </r>
    <r>
      <rPr>
        <b/>
        <sz val="11"/>
        <color theme="1"/>
        <rFont val="Aptos Narrow"/>
        <family val="2"/>
        <scheme val="minor"/>
      </rPr>
      <t>PAINT</t>
    </r>
  </si>
  <si>
    <r>
      <t xml:space="preserve">Brushes - </t>
    </r>
    <r>
      <rPr>
        <b/>
        <sz val="11"/>
        <rFont val="Aptos Narrow"/>
        <family val="2"/>
        <scheme val="minor"/>
      </rPr>
      <t>BRUSH</t>
    </r>
  </si>
  <si>
    <r>
      <t xml:space="preserve">Drop Cloths - </t>
    </r>
    <r>
      <rPr>
        <b/>
        <sz val="11"/>
        <rFont val="Calibri"/>
        <family val="2"/>
      </rPr>
      <t>DROP</t>
    </r>
  </si>
  <si>
    <r>
      <t xml:space="preserve">Paint- </t>
    </r>
    <r>
      <rPr>
        <b/>
        <sz val="11"/>
        <rFont val="Calibri"/>
        <family val="2"/>
      </rPr>
      <t>PAINT</t>
    </r>
  </si>
  <si>
    <r>
      <t xml:space="preserve">Roller Covers - </t>
    </r>
    <r>
      <rPr>
        <b/>
        <sz val="11"/>
        <rFont val="Calibri"/>
        <family val="2"/>
      </rPr>
      <t>ROLLR</t>
    </r>
  </si>
  <si>
    <r>
      <t xml:space="preserve">Spray Paint - </t>
    </r>
    <r>
      <rPr>
        <b/>
        <sz val="11"/>
        <rFont val="Aptos Narrow"/>
        <family val="2"/>
        <scheme val="minor"/>
      </rPr>
      <t>SPRAY</t>
    </r>
  </si>
  <si>
    <r>
      <t xml:space="preserve">Stain - </t>
    </r>
    <r>
      <rPr>
        <b/>
        <sz val="11"/>
        <rFont val="Aptos Narrow"/>
        <family val="2"/>
        <scheme val="minor"/>
      </rPr>
      <t>STAIN</t>
    </r>
  </si>
  <si>
    <r>
      <t xml:space="preserve">Tray Kits - </t>
    </r>
    <r>
      <rPr>
        <b/>
        <sz val="11"/>
        <rFont val="Calibri"/>
        <family val="2"/>
      </rPr>
      <t>KITS</t>
    </r>
  </si>
  <si>
    <r>
      <t xml:space="preserve">Power Tools - </t>
    </r>
    <r>
      <rPr>
        <b/>
        <sz val="11"/>
        <color theme="1"/>
        <rFont val="Aptos Narrow"/>
        <family val="2"/>
        <scheme val="minor"/>
      </rPr>
      <t>POWER</t>
    </r>
  </si>
  <si>
    <r>
      <t xml:space="preserve">Rope - </t>
    </r>
    <r>
      <rPr>
        <b/>
        <sz val="11"/>
        <color theme="1"/>
        <rFont val="Aptos Narrow"/>
        <family val="2"/>
        <scheme val="minor"/>
      </rPr>
      <t>ROPE</t>
    </r>
  </si>
  <si>
    <r>
      <t xml:space="preserve">Hardware - </t>
    </r>
    <r>
      <rPr>
        <b/>
        <sz val="11"/>
        <rFont val="Aptos Narrow"/>
        <family val="2"/>
        <scheme val="minor"/>
      </rPr>
      <t>HDW</t>
    </r>
  </si>
  <si>
    <r>
      <t xml:space="preserve">Snow - </t>
    </r>
    <r>
      <rPr>
        <b/>
        <sz val="11"/>
        <rFont val="Aptos Narrow"/>
        <family val="2"/>
        <scheme val="minor"/>
      </rPr>
      <t>SNOW</t>
    </r>
  </si>
  <si>
    <r>
      <t xml:space="preserve">Salt/Ice Melt - </t>
    </r>
    <r>
      <rPr>
        <b/>
        <sz val="11"/>
        <color theme="1"/>
        <rFont val="Aptos Narrow"/>
        <family val="2"/>
        <scheme val="minor"/>
      </rPr>
      <t>MELT</t>
    </r>
  </si>
  <si>
    <r>
      <t xml:space="preserve">Shovels - </t>
    </r>
    <r>
      <rPr>
        <b/>
        <sz val="11"/>
        <rFont val="Aptos Narrow"/>
        <family val="2"/>
        <scheme val="minor"/>
      </rPr>
      <t>SHVLS</t>
    </r>
  </si>
  <si>
    <r>
      <t xml:space="preserve">Tape - </t>
    </r>
    <r>
      <rPr>
        <b/>
        <sz val="11"/>
        <rFont val="Calibri"/>
        <family val="2"/>
      </rPr>
      <t>TAPE</t>
    </r>
  </si>
  <si>
    <r>
      <t xml:space="preserve">Duct Tape - </t>
    </r>
    <r>
      <rPr>
        <b/>
        <sz val="11"/>
        <rFont val="Calibri"/>
        <family val="2"/>
      </rPr>
      <t>DUCT</t>
    </r>
  </si>
  <si>
    <r>
      <t xml:space="preserve">Electrical Tape - </t>
    </r>
    <r>
      <rPr>
        <b/>
        <sz val="11"/>
        <rFont val="Calibri"/>
        <family val="2"/>
      </rPr>
      <t>ELECT</t>
    </r>
  </si>
  <si>
    <r>
      <t xml:space="preserve">Masking Tape - </t>
    </r>
    <r>
      <rPr>
        <b/>
        <sz val="11"/>
        <rFont val="Calibri"/>
        <family val="2"/>
      </rPr>
      <t>MASK</t>
    </r>
  </si>
  <si>
    <r>
      <t xml:space="preserve">Packing Tape - </t>
    </r>
    <r>
      <rPr>
        <b/>
        <sz val="11"/>
        <rFont val="Calibri"/>
        <family val="2"/>
      </rPr>
      <t>PACK</t>
    </r>
  </si>
  <si>
    <r>
      <t xml:space="preserve">Painter's Tape - </t>
    </r>
    <r>
      <rPr>
        <b/>
        <sz val="11"/>
        <rFont val="Calibri"/>
        <family val="2"/>
      </rPr>
      <t>PAINT</t>
    </r>
  </si>
  <si>
    <r>
      <t xml:space="preserve">Tarps - </t>
    </r>
    <r>
      <rPr>
        <b/>
        <sz val="11"/>
        <rFont val="Aptos Narrow"/>
        <family val="2"/>
        <scheme val="minor"/>
      </rPr>
      <t>TARPS</t>
    </r>
  </si>
  <si>
    <r>
      <t xml:space="preserve">Extra Heavy Duty - </t>
    </r>
    <r>
      <rPr>
        <b/>
        <sz val="11"/>
        <rFont val="Calibri"/>
        <family val="2"/>
      </rPr>
      <t>XHD</t>
    </r>
  </si>
  <si>
    <t>exists but not showing according to Charley</t>
  </si>
  <si>
    <r>
      <t xml:space="preserve">Heavy Duty - </t>
    </r>
    <r>
      <rPr>
        <b/>
        <sz val="11"/>
        <rFont val="Aptos Narrow"/>
        <family val="2"/>
        <scheme val="minor"/>
      </rPr>
      <t>HEAVY</t>
    </r>
  </si>
  <si>
    <r>
      <t xml:space="preserve">Tarps - </t>
    </r>
    <r>
      <rPr>
        <b/>
        <sz val="11"/>
        <color theme="1"/>
        <rFont val="Aptos Narrow"/>
        <family val="2"/>
        <scheme val="minor"/>
      </rPr>
      <t>TARPS</t>
    </r>
  </si>
  <si>
    <r>
      <t xml:space="preserve">Standard - </t>
    </r>
    <r>
      <rPr>
        <b/>
        <sz val="11"/>
        <rFont val="Aptos Narrow"/>
        <family val="2"/>
        <scheme val="minor"/>
      </rPr>
      <t>STAND</t>
    </r>
  </si>
  <si>
    <r>
      <t xml:space="preserve">Work Gloves - </t>
    </r>
    <r>
      <rPr>
        <b/>
        <sz val="11"/>
        <color theme="1"/>
        <rFont val="Aptos Narrow"/>
        <family val="2"/>
        <scheme val="minor"/>
      </rPr>
      <t>GLOVE</t>
    </r>
  </si>
  <si>
    <r>
      <t xml:space="preserve">Housewares - </t>
    </r>
    <r>
      <rPr>
        <b/>
        <sz val="11"/>
        <rFont val="Aptos Narrow"/>
        <family val="2"/>
        <scheme val="minor"/>
      </rPr>
      <t>HSW</t>
    </r>
  </si>
  <si>
    <r>
      <t xml:space="preserve">Bakeware - </t>
    </r>
    <r>
      <rPr>
        <b/>
        <sz val="11"/>
        <rFont val="Aptos Narrow"/>
        <family val="2"/>
        <scheme val="minor"/>
      </rPr>
      <t>BKW</t>
    </r>
  </si>
  <si>
    <r>
      <t xml:space="preserve">Cookware - </t>
    </r>
    <r>
      <rPr>
        <b/>
        <sz val="11"/>
        <rFont val="Aptos Narrow"/>
        <family val="2"/>
        <scheme val="minor"/>
      </rPr>
      <t>CKW</t>
    </r>
  </si>
  <si>
    <r>
      <t xml:space="preserve">Dinnerware - </t>
    </r>
    <r>
      <rPr>
        <b/>
        <sz val="11"/>
        <rFont val="Aptos Narrow"/>
        <family val="2"/>
        <scheme val="minor"/>
      </rPr>
      <t>DINN</t>
    </r>
  </si>
  <si>
    <r>
      <t xml:space="preserve">Glassware - </t>
    </r>
    <r>
      <rPr>
        <b/>
        <sz val="11"/>
        <rFont val="Aptos Narrow"/>
        <family val="2"/>
        <scheme val="minor"/>
      </rPr>
      <t>GLASS</t>
    </r>
  </si>
  <si>
    <r>
      <t xml:space="preserve">Kitchen Gadgets - </t>
    </r>
    <r>
      <rPr>
        <b/>
        <sz val="11"/>
        <rFont val="Aptos Narrow"/>
        <family val="2"/>
        <scheme val="minor"/>
      </rPr>
      <t>GADGE</t>
    </r>
  </si>
  <si>
    <r>
      <t xml:space="preserve">Small Appliances - </t>
    </r>
    <r>
      <rPr>
        <b/>
        <sz val="11"/>
        <rFont val="Aptos Narrow"/>
        <family val="2"/>
        <scheme val="minor"/>
      </rPr>
      <t>SMALL</t>
    </r>
  </si>
  <si>
    <t>Organization</t>
  </si>
  <si>
    <t>Bath</t>
  </si>
  <si>
    <t>kitchen</t>
  </si>
  <si>
    <r>
      <t xml:space="preserve">Pets - </t>
    </r>
    <r>
      <rPr>
        <b/>
        <sz val="11"/>
        <rFont val="Aptos Narrow"/>
        <family val="2"/>
        <scheme val="minor"/>
      </rPr>
      <t>PETS</t>
    </r>
  </si>
  <si>
    <r>
      <t xml:space="preserve">Collars/Leashes - </t>
    </r>
    <r>
      <rPr>
        <b/>
        <sz val="11"/>
        <rFont val="Aptos Narrow"/>
        <family val="2"/>
        <scheme val="minor"/>
      </rPr>
      <t>LEASH</t>
    </r>
  </si>
  <si>
    <r>
      <t xml:space="preserve">Pet Beds - </t>
    </r>
    <r>
      <rPr>
        <b/>
        <sz val="11"/>
        <rFont val="Aptos Narrow"/>
        <family val="2"/>
        <scheme val="minor"/>
      </rPr>
      <t>BEDS</t>
    </r>
  </si>
  <si>
    <r>
      <t xml:space="preserve">Pet Food - </t>
    </r>
    <r>
      <rPr>
        <b/>
        <sz val="11"/>
        <rFont val="Aptos Narrow"/>
        <family val="2"/>
        <scheme val="minor"/>
      </rPr>
      <t>PFOOD</t>
    </r>
  </si>
  <si>
    <r>
      <t xml:space="preserve">Pet Toys - </t>
    </r>
    <r>
      <rPr>
        <b/>
        <sz val="11"/>
        <rFont val="Aptos Narrow"/>
        <family val="2"/>
        <scheme val="minor"/>
      </rPr>
      <t>PTOYS</t>
    </r>
  </si>
  <si>
    <r>
      <t xml:space="preserve">Treats/Chews - </t>
    </r>
    <r>
      <rPr>
        <b/>
        <sz val="11"/>
        <rFont val="Aptos Narrow"/>
        <family val="2"/>
        <scheme val="minor"/>
      </rPr>
      <t>TREAT</t>
    </r>
  </si>
  <si>
    <t>SALVAGE</t>
  </si>
  <si>
    <t>FAK</t>
  </si>
  <si>
    <r>
      <t xml:space="preserve">Clothing - </t>
    </r>
    <r>
      <rPr>
        <b/>
        <sz val="11"/>
        <rFont val="Aptos Narrow"/>
        <family val="2"/>
        <scheme val="minor"/>
      </rPr>
      <t>CLO</t>
    </r>
  </si>
  <si>
    <r>
      <t xml:space="preserve">Consumables - </t>
    </r>
    <r>
      <rPr>
        <b/>
        <sz val="11"/>
        <rFont val="Aptos Narrow"/>
        <family val="2"/>
        <scheme val="minor"/>
      </rPr>
      <t>CON</t>
    </r>
  </si>
  <si>
    <r>
      <t xml:space="preserve">Domestics - </t>
    </r>
    <r>
      <rPr>
        <b/>
        <sz val="11"/>
        <rFont val="Aptos Narrow"/>
        <family val="2"/>
        <scheme val="minor"/>
      </rPr>
      <t>DOM</t>
    </r>
  </si>
  <si>
    <r>
      <t xml:space="preserve">Fabric - </t>
    </r>
    <r>
      <rPr>
        <b/>
        <sz val="11"/>
        <rFont val="Aptos Narrow"/>
        <family val="2"/>
        <scheme val="minor"/>
      </rPr>
      <t>FAB</t>
    </r>
  </si>
  <si>
    <r>
      <t xml:space="preserve">General - </t>
    </r>
    <r>
      <rPr>
        <b/>
        <sz val="11"/>
        <rFont val="Aptos Narrow"/>
        <family val="2"/>
        <scheme val="minor"/>
      </rPr>
      <t>GEN</t>
    </r>
  </si>
  <si>
    <r>
      <t>Pets -</t>
    </r>
    <r>
      <rPr>
        <b/>
        <sz val="11"/>
        <rFont val="Aptos Narrow"/>
        <family val="2"/>
        <scheme val="minor"/>
      </rPr>
      <t xml:space="preserve"> PETS</t>
    </r>
  </si>
  <si>
    <r>
      <t>Shoes -</t>
    </r>
    <r>
      <rPr>
        <b/>
        <sz val="11"/>
        <rFont val="Aptos Narrow"/>
        <family val="2"/>
        <scheme val="minor"/>
      </rPr>
      <t xml:space="preserve"> SHO</t>
    </r>
  </si>
  <si>
    <r>
      <t>Socks -</t>
    </r>
    <r>
      <rPr>
        <b/>
        <sz val="11"/>
        <rFont val="Aptos Narrow"/>
        <family val="2"/>
        <scheme val="minor"/>
      </rPr>
      <t xml:space="preserve"> SOCKS</t>
    </r>
  </si>
  <si>
    <r>
      <t>Softlines Acc -</t>
    </r>
    <r>
      <rPr>
        <b/>
        <sz val="11"/>
        <rFont val="Aptos Narrow"/>
        <family val="2"/>
        <scheme val="minor"/>
      </rPr>
      <t xml:space="preserve"> ACC</t>
    </r>
  </si>
  <si>
    <r>
      <t>Sporting Goods -</t>
    </r>
    <r>
      <rPr>
        <b/>
        <sz val="11"/>
        <rFont val="Aptos Narrow"/>
        <family val="2"/>
        <scheme val="minor"/>
      </rPr>
      <t xml:space="preserve"> SPO</t>
    </r>
  </si>
  <si>
    <r>
      <t xml:space="preserve">Store Use - </t>
    </r>
    <r>
      <rPr>
        <b/>
        <sz val="11"/>
        <rFont val="Aptos Narrow"/>
        <family val="2"/>
        <scheme val="minor"/>
      </rPr>
      <t>STR</t>
    </r>
  </si>
  <si>
    <r>
      <t xml:space="preserve">Shoes - </t>
    </r>
    <r>
      <rPr>
        <b/>
        <sz val="11"/>
        <color theme="1"/>
        <rFont val="Aptos Narrow"/>
        <family val="2"/>
        <scheme val="minor"/>
      </rPr>
      <t>SHO</t>
    </r>
  </si>
  <si>
    <r>
      <t xml:space="preserve">Kids - </t>
    </r>
    <r>
      <rPr>
        <b/>
        <sz val="11"/>
        <color theme="1"/>
        <rFont val="Aptos Narrow"/>
        <family val="2"/>
        <scheme val="minor"/>
      </rPr>
      <t>SKIDS</t>
    </r>
  </si>
  <si>
    <r>
      <t xml:space="preserve">Boots - </t>
    </r>
    <r>
      <rPr>
        <b/>
        <sz val="11"/>
        <color theme="1"/>
        <rFont val="Aptos Narrow"/>
        <family val="2"/>
        <scheme val="minor"/>
      </rPr>
      <t>BOOTS</t>
    </r>
  </si>
  <si>
    <t>HASH</t>
  </si>
  <si>
    <r>
      <t xml:space="preserve">Sandals - </t>
    </r>
    <r>
      <rPr>
        <b/>
        <sz val="11"/>
        <color theme="1"/>
        <rFont val="Aptos Narrow"/>
        <family val="2"/>
        <scheme val="minor"/>
      </rPr>
      <t>SNDAL</t>
    </r>
  </si>
  <si>
    <t>Shoe</t>
  </si>
  <si>
    <r>
      <t xml:space="preserve">Slippers - </t>
    </r>
    <r>
      <rPr>
        <b/>
        <sz val="11"/>
        <color theme="1"/>
        <rFont val="Aptos Narrow"/>
        <family val="2"/>
        <scheme val="minor"/>
      </rPr>
      <t>SLIP</t>
    </r>
  </si>
  <si>
    <t>Snow Boots</t>
  </si>
  <si>
    <r>
      <t xml:space="preserve">Mens - </t>
    </r>
    <r>
      <rPr>
        <b/>
        <sz val="11"/>
        <color theme="1"/>
        <rFont val="Aptos Narrow"/>
        <family val="2"/>
        <scheme val="minor"/>
      </rPr>
      <t>SMENS</t>
    </r>
  </si>
  <si>
    <t>Mixed gender</t>
  </si>
  <si>
    <r>
      <t xml:space="preserve">Womens - </t>
    </r>
    <r>
      <rPr>
        <b/>
        <sz val="11"/>
        <color theme="1"/>
        <rFont val="Aptos Narrow"/>
        <family val="2"/>
        <scheme val="minor"/>
      </rPr>
      <t>SWMNS</t>
    </r>
  </si>
  <si>
    <t>Socks - SOCKS</t>
  </si>
  <si>
    <t>Boys Socks - BOYS</t>
  </si>
  <si>
    <t xml:space="preserve">Athletic </t>
  </si>
  <si>
    <t>Girls Socks - GIRLS</t>
  </si>
  <si>
    <t>Mens Socks - MENS</t>
  </si>
  <si>
    <t>Womens Socks - WOMEN</t>
  </si>
  <si>
    <t>Softlines Acc - ACC</t>
  </si>
  <si>
    <t>Boys Acc - BOYS</t>
  </si>
  <si>
    <t xml:space="preserve">Baselayers </t>
  </si>
  <si>
    <t xml:space="preserve">Belts </t>
  </si>
  <si>
    <t xml:space="preserve">Caps </t>
  </si>
  <si>
    <t xml:space="preserve">Mittens / Gloves </t>
  </si>
  <si>
    <t xml:space="preserve">Packaged Tees </t>
  </si>
  <si>
    <t xml:space="preserve">Purses </t>
  </si>
  <si>
    <t>Underwear - UNDER</t>
  </si>
  <si>
    <t xml:space="preserve">Winter Hats </t>
  </si>
  <si>
    <t>Girls Acc - GIRLS</t>
  </si>
  <si>
    <t>Bras - BRA</t>
  </si>
  <si>
    <t>Mens Acc - MENS</t>
  </si>
  <si>
    <t>Womens Acc - WOMEN</t>
  </si>
  <si>
    <r>
      <t xml:space="preserve">Sporting Goods - </t>
    </r>
    <r>
      <rPr>
        <b/>
        <sz val="11"/>
        <rFont val="Aptos Narrow"/>
        <family val="2"/>
        <scheme val="minor"/>
      </rPr>
      <t>SPO</t>
    </r>
  </si>
  <si>
    <r>
      <t xml:space="preserve">Baseball - </t>
    </r>
    <r>
      <rPr>
        <b/>
        <sz val="11"/>
        <rFont val="Aptos Narrow"/>
        <family val="2"/>
        <scheme val="minor"/>
      </rPr>
      <t>BASE</t>
    </r>
  </si>
  <si>
    <r>
      <t xml:space="preserve">Basketball - </t>
    </r>
    <r>
      <rPr>
        <b/>
        <sz val="11"/>
        <rFont val="Aptos Narrow"/>
        <family val="2"/>
        <scheme val="minor"/>
      </rPr>
      <t>BBALL</t>
    </r>
  </si>
  <si>
    <r>
      <t xml:space="preserve">Boating - </t>
    </r>
    <r>
      <rPr>
        <b/>
        <sz val="11"/>
        <rFont val="Aptos Narrow"/>
        <family val="2"/>
        <scheme val="minor"/>
      </rPr>
      <t>BOAT</t>
    </r>
  </si>
  <si>
    <r>
      <t xml:space="preserve">Fishing - </t>
    </r>
    <r>
      <rPr>
        <b/>
        <sz val="11"/>
        <rFont val="Aptos Narrow"/>
        <family val="2"/>
        <scheme val="minor"/>
      </rPr>
      <t>FISH</t>
    </r>
  </si>
  <si>
    <r>
      <t xml:space="preserve">Fitness - </t>
    </r>
    <r>
      <rPr>
        <b/>
        <sz val="11"/>
        <rFont val="Aptos Narrow"/>
        <family val="2"/>
        <scheme val="minor"/>
      </rPr>
      <t>FITN</t>
    </r>
  </si>
  <si>
    <r>
      <t xml:space="preserve">Football - </t>
    </r>
    <r>
      <rPr>
        <b/>
        <sz val="11"/>
        <rFont val="Aptos Narrow"/>
        <family val="2"/>
        <scheme val="minor"/>
      </rPr>
      <t>FOOT</t>
    </r>
  </si>
  <si>
    <r>
      <t xml:space="preserve">Golf - </t>
    </r>
    <r>
      <rPr>
        <b/>
        <sz val="11"/>
        <rFont val="Aptos Narrow"/>
        <family val="2"/>
        <scheme val="minor"/>
      </rPr>
      <t>GOLF</t>
    </r>
  </si>
  <si>
    <r>
      <t xml:space="preserve">Hockey - </t>
    </r>
    <r>
      <rPr>
        <b/>
        <sz val="11"/>
        <rFont val="Aptos Narrow"/>
        <family val="2"/>
        <scheme val="minor"/>
      </rPr>
      <t>HOCK</t>
    </r>
  </si>
  <si>
    <r>
      <t xml:space="preserve">Hunting - </t>
    </r>
    <r>
      <rPr>
        <b/>
        <sz val="11"/>
        <rFont val="Aptos Narrow"/>
        <family val="2"/>
        <scheme val="minor"/>
      </rPr>
      <t>HUNT</t>
    </r>
  </si>
  <si>
    <r>
      <t xml:space="preserve">Ice Fishing - </t>
    </r>
    <r>
      <rPr>
        <b/>
        <sz val="11"/>
        <rFont val="Aptos Narrow"/>
        <family val="2"/>
        <scheme val="minor"/>
      </rPr>
      <t>ICE</t>
    </r>
  </si>
  <si>
    <t>Pickleball- PKL</t>
  </si>
  <si>
    <r>
      <t xml:space="preserve">Playground Balls - </t>
    </r>
    <r>
      <rPr>
        <b/>
        <sz val="11"/>
        <rFont val="Aptos Narrow"/>
        <family val="2"/>
        <scheme val="minor"/>
      </rPr>
      <t>PGB</t>
    </r>
  </si>
  <si>
    <r>
      <t xml:space="preserve">Soccer - </t>
    </r>
    <r>
      <rPr>
        <b/>
        <sz val="11"/>
        <rFont val="Aptos Narrow"/>
        <family val="2"/>
        <scheme val="minor"/>
      </rPr>
      <t>SOCC</t>
    </r>
  </si>
  <si>
    <r>
      <t xml:space="preserve">Store Use - </t>
    </r>
    <r>
      <rPr>
        <b/>
        <sz val="11"/>
        <color theme="1"/>
        <rFont val="Aptos Narrow"/>
        <family val="2"/>
        <scheme val="minor"/>
      </rPr>
      <t>STR</t>
    </r>
  </si>
  <si>
    <t>KEN/FLOORING</t>
  </si>
  <si>
    <t>Major Furniture Categories</t>
  </si>
  <si>
    <t>•             Living Room Furniture</t>
  </si>
  <si>
    <t>              Finished</t>
  </si>
  <si>
    <t>              Sofas,</t>
  </si>
  <si>
    <t>              Unfinished</t>
  </si>
  <si>
    <t>               sectionals,</t>
  </si>
  <si>
    <t>                loveseats</t>
  </si>
  <si>
    <t>               Recliners,</t>
  </si>
  <si>
    <t>              Click</t>
  </si>
  <si>
    <t>                armchairs</t>
  </si>
  <si>
    <t>              Glue Down</t>
  </si>
  <si>
    <t>•             Coffee tables, end tables</t>
  </si>
  <si>
    <t>              Floating</t>
  </si>
  <si>
    <t>•             TV stands, entertainment centers</t>
  </si>
  <si>
    <t>•             Bookcases, shelving units</t>
  </si>
  <si>
    <t>Laminate Plank</t>
  </si>
  <si>
    <t>•             Bedroom Furniture</t>
  </si>
  <si>
    <t>               Beds (twin, queen, king)</t>
  </si>
  <si>
    <t>               Dressers, chests of drawers</t>
  </si>
  <si>
    <t>              Nightstands</t>
  </si>
  <si>
    <t>               Wardrobes/armoires</t>
  </si>
  <si>
    <t>              Ceramic</t>
  </si>
  <si>
    <t>              Porcelain</t>
  </si>
  <si>
    <t>•             Dining Room Furniture</t>
  </si>
  <si>
    <t>              Dining tables</t>
  </si>
  <si>
    <t>              Dining chairs</t>
  </si>
  <si>
    <t>               Buffets,</t>
  </si>
  <si>
    <t>                sideboards</t>
  </si>
  <si>
    <t>               Bar carts, wine racks</t>
  </si>
  <si>
    <t>               Counter-height tables &amp; stools</t>
  </si>
  <si>
    <t>•             Office Furniture</t>
  </si>
  <si>
    <t>               Desks</t>
  </si>
  <si>
    <t>               Office chairs</t>
  </si>
  <si>
    <t>              Filing cabinets</t>
  </si>
  <si>
    <t>              Bookcases</t>
  </si>
  <si>
    <t>              Conference tables</t>
  </si>
  <si>
    <t>•             Outdoor Furniture</t>
  </si>
  <si>
    <t>              Interior</t>
  </si>
  <si>
    <t>              Patio sets (tables &amp; chairs)</t>
  </si>
  <si>
    <t>              Exterior</t>
  </si>
  <si>
    <t>              Lounge chairs</t>
  </si>
  <si>
    <t>              Outdoor sofas &amp; sectionals</t>
  </si>
  <si>
    <t>              Umbrellas &amp; gazebos</t>
  </si>
  <si>
    <t>              Rolls</t>
  </si>
  <si>
    <t>              Storage benches</t>
  </si>
  <si>
    <t>              Rems</t>
  </si>
  <si>
    <t>Accent &amp; Specialty Categories</t>
  </si>
  <si>
    <t>              Accent Furniture</t>
  </si>
  <si>
    <t>               Console tables</t>
  </si>
  <si>
    <t>              Ottomans &amp; poufs</t>
  </si>
  <si>
    <t>               Accent chairs</t>
  </si>
  <si>
    <t>              Hall trees &amp; coat racks</t>
  </si>
  <si>
    <t>•             Storage Solutions</t>
  </si>
  <si>
    <t>              Cabinets</t>
  </si>
  <si>
    <t>              Shelving units</t>
  </si>
  <si>
    <t>Non-Skid Pad</t>
  </si>
  <si>
    <t>              Shoe racks</t>
  </si>
  <si>
    <t>•             Children’s Furniture</t>
  </si>
  <si>
    <t>               Cribs &amp; toddler beds</t>
  </si>
  <si>
    <t>              Kids’ desks &amp; chairs</t>
  </si>
  <si>
    <t>              Toy storage</t>
  </si>
  <si>
    <t>               Bunk beds</t>
  </si>
  <si>
    <t>•             Decor &amp; Accessories</t>
  </si>
  <si>
    <t>              Lamps &amp; lighting</t>
  </si>
  <si>
    <t>               Rugs</t>
  </si>
  <si>
    <t>               Mirrors</t>
  </si>
  <si>
    <t>              Wall art</t>
  </si>
  <si>
    <t>               Cushions &amp; throws</t>
  </si>
  <si>
    <t>Mattress Categories</t>
  </si>
  <si>
    <t>•             By Size</t>
  </si>
  <si>
    <t>              Twin</t>
  </si>
  <si>
    <t>              Twin XL</t>
  </si>
  <si>
    <t>              Full/Double</t>
  </si>
  <si>
    <t>              Queen</t>
  </si>
  <si>
    <t>               King</t>
  </si>
  <si>
    <t>              California King</t>
  </si>
  <si>
    <t>              Adjustable bases</t>
  </si>
  <si>
    <t>              Platform beds</t>
  </si>
  <si>
    <t>              Box springs/foundations</t>
  </si>
  <si>
    <t>              Metal frames</t>
  </si>
  <si>
    <t>              Headboards &amp; footboards</t>
  </si>
  <si>
    <t>              Mattress toppers (foam, latex, feather, cooling gel)</t>
  </si>
  <si>
    <t>              Mattress protectors</t>
  </si>
  <si>
    <t>              Sheets (various sizes &amp; materials)</t>
  </si>
  <si>
    <t>               Comforters &amp; duvets</t>
  </si>
  <si>
    <t>              Pillows (memory foam, down, latex, cooling)</t>
  </si>
  <si>
    <t>              Mattress bags/covers (for moving/storage)</t>
  </si>
  <si>
    <t>               Cleaning kits</t>
  </si>
  <si>
    <t>              Bed risers</t>
  </si>
  <si>
    <t>              Under-bed storage solutions</t>
  </si>
  <si>
    <t>Action</t>
  </si>
  <si>
    <t>Short Cut</t>
  </si>
  <si>
    <t>Example</t>
  </si>
  <si>
    <t>Autofill info</t>
  </si>
  <si>
    <t>CTRL + D</t>
  </si>
  <si>
    <t>fill department on entire sheet once you have it put in cell J7</t>
  </si>
  <si>
    <t>Copy</t>
  </si>
  <si>
    <t>CTRL + C</t>
  </si>
  <si>
    <t>Paste</t>
  </si>
  <si>
    <t>CTRL + V</t>
  </si>
  <si>
    <t>highlight column or row until next break</t>
  </si>
  <si>
    <t>CTRL + SHIFT + ARROW</t>
  </si>
  <si>
    <t>add filters</t>
  </si>
  <si>
    <t>Highlight row 5; CRTL + SHIFT + L</t>
  </si>
  <si>
    <t xml:space="preserve">filter for price, cost, type of item (ex candles) to easily add info using autofill </t>
  </si>
  <si>
    <t>DepartmentList</t>
  </si>
  <si>
    <t>CategoriesList</t>
  </si>
  <si>
    <t>SubCategoriesList</t>
  </si>
  <si>
    <t>Department</t>
  </si>
  <si>
    <t xml:space="preserve">Categories </t>
  </si>
  <si>
    <t>BuyerList</t>
  </si>
  <si>
    <t>LocationList</t>
  </si>
  <si>
    <t>Address</t>
  </si>
  <si>
    <t>100 Benton Ave, Winslow, ME 04901</t>
  </si>
  <si>
    <t>17 Locust Street, Lewiston, ME 04240</t>
  </si>
  <si>
    <t>50 Industrial Dr, Waterville, ME 04901</t>
  </si>
  <si>
    <t>Various, see Buyer's Notes</t>
  </si>
  <si>
    <t>JM2</t>
  </si>
  <si>
    <t>Sara Marden Slattery</t>
  </si>
  <si>
    <t>SMS</t>
  </si>
  <si>
    <t>Drew Chase</t>
  </si>
  <si>
    <t>Walmart</t>
  </si>
  <si>
    <t>123 Main Street, Small Town, USA</t>
  </si>
  <si>
    <t>A Firm Handshake</t>
  </si>
  <si>
    <t>His handshake was wet.</t>
  </si>
  <si>
    <t>Diet Coke (16 Oz Can)</t>
  </si>
  <si>
    <t>Consumables - CON</t>
  </si>
  <si>
    <t>Food - FOOD</t>
  </si>
  <si>
    <t>Grocery - GROC</t>
  </si>
  <si>
    <t>Something that I just had on my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</si>
</sst>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6"/>
      <name val="Aptos Narrow"/>
      <family val="2"/>
      <scheme val="minor"/>
    </font>
    <font>
      <sz val="16"/>
      <name val="Aptos Narrow"/>
      <family val="2"/>
      <scheme val="minor"/>
    </font>
    <font>
      <b/>
      <sz val="9"/>
      <color indexed="81"/>
      <name val="Tahoma"/>
      <family val="2"/>
    </font>
    <font>
      <sz val="16"/>
      <color theme="0" tint="-0.249977111117893"/>
      <name val="Aptos Narrow"/>
      <family val="2"/>
      <scheme val="minor"/>
    </font>
    <font>
      <sz val="12"/>
      <name val="Aptos Narrow"/>
      <family val="2"/>
      <scheme val="minor"/>
    </font>
    <font>
      <sz val="14"/>
      <color theme="0"/>
      <name val="Impact"/>
      <family val="2"/>
    </font>
    <font>
      <sz val="14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3"/>
      <color theme="3"/>
      <name val="Aptos Narrow"/>
      <family val="2"/>
      <scheme val="minor"/>
    </font>
    <font>
      <b/>
      <sz val="13"/>
      <color theme="9" tint="-0.249977111117893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21" fillId="0" borderId="9" applyNumberFormat="0" applyFill="0" applyAlignment="0" applyProtection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5" fillId="0" borderId="0" xfId="0" applyFont="1"/>
    <xf numFmtId="0" fontId="7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2" fillId="0" borderId="9" xfId="2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8" xfId="0" applyBorder="1"/>
    <xf numFmtId="0" fontId="0" fillId="0" borderId="7" xfId="0" applyBorder="1" applyAlignment="1">
      <alignment horizontal="center"/>
    </xf>
    <xf numFmtId="0" fontId="4" fillId="0" borderId="7" xfId="0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11" fillId="0" borderId="1" xfId="0" applyFont="1" applyBorder="1" applyProtection="1"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164" fontId="11" fillId="0" borderId="1" xfId="0" applyNumberFormat="1" applyFont="1" applyBorder="1" applyAlignment="1" applyProtection="1">
      <alignment horizontal="center" vertical="center"/>
      <protection locked="0"/>
    </xf>
    <xf numFmtId="0" fontId="16" fillId="3" borderId="1" xfId="0" applyFont="1" applyFill="1" applyBorder="1" applyProtection="1">
      <protection locked="0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3" fillId="0" borderId="3" xfId="0" applyFont="1" applyBorder="1" applyAlignment="1">
      <alignment horizontal="left"/>
    </xf>
    <xf numFmtId="0" fontId="23" fillId="0" borderId="2" xfId="0" applyFont="1" applyBorder="1" applyAlignment="1">
      <alignment horizontal="center"/>
    </xf>
    <xf numFmtId="0" fontId="11" fillId="0" borderId="1" xfId="0" applyFont="1" applyBorder="1" applyAlignment="1" applyProtection="1">
      <alignment wrapText="1"/>
      <protection locked="0"/>
    </xf>
    <xf numFmtId="0" fontId="11" fillId="4" borderId="1" xfId="0" applyFont="1" applyFill="1" applyBorder="1" applyAlignment="1" applyProtection="1">
      <alignment wrapText="1"/>
      <protection locked="0"/>
    </xf>
    <xf numFmtId="0" fontId="0" fillId="6" borderId="2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7" fillId="5" borderId="1" xfId="0" applyFont="1" applyFill="1" applyBorder="1" applyProtection="1">
      <protection locked="0"/>
    </xf>
    <xf numFmtId="0" fontId="17" fillId="5" borderId="1" xfId="0" applyFont="1" applyFill="1" applyBorder="1" applyAlignment="1" applyProtection="1">
      <alignment wrapText="1"/>
      <protection locked="0"/>
    </xf>
    <xf numFmtId="0" fontId="12" fillId="0" borderId="1" xfId="1" applyFont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left"/>
      <protection locked="0"/>
    </xf>
    <xf numFmtId="0" fontId="18" fillId="0" borderId="1" xfId="0" applyFont="1" applyBorder="1" applyAlignment="1" applyProtection="1">
      <alignment horizontal="left" wrapText="1"/>
      <protection locked="0"/>
    </xf>
    <xf numFmtId="0" fontId="18" fillId="0" borderId="1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left" vertical="center"/>
      <protection locked="0"/>
    </xf>
    <xf numFmtId="0" fontId="13" fillId="0" borderId="6" xfId="0" applyFont="1" applyBorder="1" applyAlignment="1" applyProtection="1">
      <alignment horizontal="left" vertical="center"/>
      <protection locked="0"/>
    </xf>
    <xf numFmtId="0" fontId="15" fillId="0" borderId="1" xfId="0" applyFont="1" applyBorder="1" applyAlignment="1" applyProtection="1">
      <alignment horizontal="center" vertical="top" wrapText="1"/>
      <protection locked="0"/>
    </xf>
  </cellXfs>
  <cellStyles count="3">
    <cellStyle name="Heading 2" xfId="2" builtinId="17"/>
    <cellStyle name="Hyperlink" xfId="1" builtinId="8"/>
    <cellStyle name="Normal" xfId="0" builtinId="0"/>
  </cellStyles>
  <dxfs count="2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52BF33-95FD-48CC-B45C-E29654335937}" name="DeptCatSubTable" displayName="DeptCatSubTable" ref="A1:D377" totalsRowShown="0">
  <autoFilter ref="A1:D377" xr:uid="{7B52BF33-95FD-48CC-B45C-E29654335937}"/>
  <tableColumns count="4">
    <tableColumn id="1" xr3:uid="{3F1BB244-D959-48B2-BA62-EE2CE5CFF0E1}" name="Dept (ACCT CODE)" dataDxfId="26"/>
    <tableColumn id="2" xr3:uid="{35D39714-B7E4-4A3A-B151-8C4B6BD4D9D3}" name="Categories" dataDxfId="25"/>
    <tableColumn id="3" xr3:uid="{142A3617-8BE3-4CE7-8CB5-A8F12A0C781E}" name="Sub-categories"/>
    <tableColumn id="4" xr3:uid="{EB026FD1-3572-4F0A-A1B0-614D23CD62A7}" name="Not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D2BF65-0A7A-44FF-88F6-083A26A795A5}" name="SeasonTable" displayName="SeasonTable" ref="F1:H18" totalsRowShown="0" headerRowDxfId="24" headerRowBorderDxfId="23" tableBorderDxfId="22" totalsRowBorderDxfId="21">
  <autoFilter ref="F1:H18" xr:uid="{FFD2BF65-0A7A-44FF-88F6-083A26A795A5}"/>
  <tableColumns count="3">
    <tableColumn id="1" xr3:uid="{763A9432-16E5-4CBC-84A6-C17382E7B3DF}" name="Season" dataDxfId="20">
      <calculatedColumnFormula>G2 &amp; " - " &amp;H2</calculatedColumnFormula>
    </tableColumn>
    <tableColumn id="2" xr3:uid="{421F7DFE-145C-4504-AB72-D4E0BA69371F}" name="Short Name" dataDxfId="19"/>
    <tableColumn id="3" xr3:uid="{66B14BFF-09A2-445C-A7E6-D8EC76400BC8}" name="Code" dataDxfId="1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34121C-FA02-4DCD-982A-17CC8F7F6FD8}" name="StatusTable" displayName="StatusTable" ref="J1:K15" totalsRowShown="0" headerRowDxfId="17" headerRowBorderDxfId="16" tableBorderDxfId="15" totalsRowBorderDxfId="14">
  <autoFilter ref="J1:K15" xr:uid="{3134121C-FA02-4DCD-982A-17CC8F7F6FD8}"/>
  <tableColumns count="2">
    <tableColumn id="1" xr3:uid="{85CC20CF-F875-41B7-80FC-EF83DF27A2CD}" name="Status" dataDxfId="13"/>
    <tableColumn id="2" xr3:uid="{A8E1FAA6-69C6-4795-9FF2-E2A3D775D104}" name="Description" dataDxfId="1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A8CE55-1D50-4553-9BF0-90035A3C33D8}" name="BuyerTable" displayName="BuyerTable" ref="M1:N11" totalsRowShown="0" headerRowDxfId="11" headerRowBorderDxfId="10" tableBorderDxfId="9" totalsRowBorderDxfId="8">
  <autoFilter ref="M1:N11" xr:uid="{4AA8CE55-1D50-4553-9BF0-90035A3C33D8}"/>
  <tableColumns count="2">
    <tableColumn id="1" xr3:uid="{1D9990C8-9727-4224-B06C-E9223DF8AC28}" name="Buyer" dataDxfId="7"/>
    <tableColumn id="2" xr3:uid="{E43FE569-3C74-45B0-A5A1-70461C09DA3E}" name="Name" dataDxfId="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D7A85A-15C0-48F3-932B-A23D8FAED8C2}" name="WarehouseTable" displayName="WarehouseTable" ref="P1:R5" totalsRowShown="0" headerRowBorderDxfId="5" tableBorderDxfId="4" totalsRowBorderDxfId="3">
  <autoFilter ref="P1:R5" xr:uid="{4BD7A85A-15C0-48F3-932B-A23D8FAED8C2}"/>
  <tableColumns count="3">
    <tableColumn id="1" xr3:uid="{FC38A6DE-1AC6-42F7-A69F-7FDB1EE90B8A}" name="Warehouse" dataDxfId="2"/>
    <tableColumn id="2" xr3:uid="{E34B0F88-8E08-4D87-8ABF-48A18FBDD048}" name="Location" dataDxfId="1"/>
    <tableColumn id="3" xr3:uid="{607717C3-D59E-4D62-87D5-9809CF38F0D8}" name="Addres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p@mardens.com" TargetMode="External"/><Relationship Id="rId1" Type="http://schemas.openxmlformats.org/officeDocument/2006/relationships/hyperlink" Target="mailto:traffic@mardens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8484-887B-46EA-8C7D-3972A33D1F31}">
  <sheetPr>
    <pageSetUpPr fitToPage="1"/>
  </sheetPr>
  <dimension ref="A1:N199"/>
  <sheetViews>
    <sheetView showZeros="0" tabSelected="1" zoomScale="90" zoomScaleNormal="90" workbookViewId="0">
      <selection activeCell="H21" sqref="H21"/>
    </sheetView>
  </sheetViews>
  <sheetFormatPr defaultColWidth="17.28515625" defaultRowHeight="15" customHeight="1" x14ac:dyDescent="0.25"/>
  <cols>
    <col min="1" max="1" width="14" style="42" customWidth="1"/>
    <col min="2" max="2" width="12.85546875" style="42" customWidth="1"/>
    <col min="3" max="3" width="33.7109375" style="42" customWidth="1"/>
    <col min="4" max="5" width="9.42578125" style="42" customWidth="1"/>
    <col min="6" max="6" width="12.28515625" style="42" customWidth="1"/>
    <col min="7" max="7" width="13.28515625" style="42" customWidth="1"/>
    <col min="8" max="8" width="15.42578125" style="42" customWidth="1"/>
    <col min="9" max="9" width="13.28515625" style="42" customWidth="1"/>
    <col min="10" max="10" width="17.28515625" style="42"/>
    <col min="11" max="11" width="19.140625" style="42" customWidth="1"/>
    <col min="12" max="12" width="17.28515625" style="42"/>
    <col min="13" max="13" width="10.85546875" style="42" customWidth="1"/>
    <col min="14" max="14" width="44.42578125" style="42" customWidth="1"/>
    <col min="15" max="16384" width="17.28515625" style="42"/>
  </cols>
  <sheetData>
    <row r="1" spans="1:14" ht="21.6" customHeight="1" x14ac:dyDescent="0.35">
      <c r="A1" s="61" t="s">
        <v>0</v>
      </c>
      <c r="B1" s="66" t="s">
        <v>595</v>
      </c>
      <c r="C1" s="66"/>
      <c r="F1" s="61" t="s">
        <v>1</v>
      </c>
      <c r="G1" s="63" t="s">
        <v>2</v>
      </c>
      <c r="H1" s="64"/>
      <c r="I1" s="61" t="s">
        <v>3</v>
      </c>
      <c r="J1" s="63" t="s">
        <v>4</v>
      </c>
      <c r="K1" s="64"/>
      <c r="M1" s="65" t="e" vm="1">
        <v>#VALUE!</v>
      </c>
      <c r="N1" s="65"/>
    </row>
    <row r="2" spans="1:14" ht="36" customHeight="1" x14ac:dyDescent="0.35">
      <c r="A2" s="61" t="s">
        <v>5</v>
      </c>
      <c r="B2" s="66">
        <v>123456789</v>
      </c>
      <c r="C2" s="66"/>
      <c r="F2" s="61" t="s">
        <v>6</v>
      </c>
      <c r="G2" s="67" t="s">
        <v>588</v>
      </c>
      <c r="H2" s="68"/>
      <c r="I2" s="61" t="s">
        <v>7</v>
      </c>
      <c r="J2" s="69" t="s">
        <v>597</v>
      </c>
      <c r="K2" s="70"/>
      <c r="M2" s="65"/>
      <c r="N2" s="65"/>
    </row>
    <row r="3" spans="1:14" ht="21" x14ac:dyDescent="0.35">
      <c r="A3" s="61" t="s">
        <v>8</v>
      </c>
      <c r="B3" s="66" t="s">
        <v>596</v>
      </c>
      <c r="C3" s="66"/>
      <c r="F3" s="61" t="s">
        <v>9</v>
      </c>
      <c r="G3" s="64" t="s">
        <v>598</v>
      </c>
      <c r="H3" s="64"/>
      <c r="I3" s="61" t="s">
        <v>10</v>
      </c>
      <c r="J3" s="71" t="s">
        <v>599</v>
      </c>
      <c r="K3" s="71"/>
      <c r="M3" s="65"/>
      <c r="N3" s="65"/>
    </row>
    <row r="4" spans="1:14" ht="36.6" customHeight="1" x14ac:dyDescent="0.25">
      <c r="A4" s="43"/>
    </row>
    <row r="5" spans="1:14" ht="36" x14ac:dyDescent="0.25">
      <c r="A5" s="61" t="s">
        <v>11</v>
      </c>
      <c r="B5" s="61" t="s">
        <v>12</v>
      </c>
      <c r="C5" s="61" t="s">
        <v>13</v>
      </c>
      <c r="D5" s="62" t="s">
        <v>14</v>
      </c>
      <c r="E5" s="61" t="s">
        <v>15</v>
      </c>
      <c r="F5" s="61" t="s">
        <v>16</v>
      </c>
      <c r="G5" s="62" t="s">
        <v>17</v>
      </c>
      <c r="H5" s="62" t="s">
        <v>18</v>
      </c>
      <c r="I5" s="62" t="s">
        <v>19</v>
      </c>
      <c r="J5" s="61" t="s">
        <v>20</v>
      </c>
      <c r="K5" s="61" t="s">
        <v>21</v>
      </c>
      <c r="L5" s="61" t="s">
        <v>22</v>
      </c>
      <c r="M5" s="62" t="s">
        <v>23</v>
      </c>
      <c r="N5" s="61" t="s">
        <v>24</v>
      </c>
    </row>
    <row r="6" spans="1:14" ht="15.75" x14ac:dyDescent="0.25">
      <c r="A6" s="44">
        <v>1000001</v>
      </c>
      <c r="B6" s="44">
        <v>4965802</v>
      </c>
      <c r="C6" s="54" t="s">
        <v>600</v>
      </c>
      <c r="D6" s="45">
        <v>1</v>
      </c>
      <c r="E6" s="45">
        <v>1</v>
      </c>
      <c r="F6" s="45">
        <v>1</v>
      </c>
      <c r="G6" s="46">
        <v>0.2</v>
      </c>
      <c r="H6" s="46">
        <v>0.56000000000000005</v>
      </c>
      <c r="I6" s="46">
        <v>1.2</v>
      </c>
      <c r="J6" s="47" t="s">
        <v>601</v>
      </c>
      <c r="K6" s="47" t="s">
        <v>602</v>
      </c>
      <c r="L6" s="47" t="s">
        <v>603</v>
      </c>
      <c r="M6" s="47"/>
      <c r="N6" s="55" t="s">
        <v>604</v>
      </c>
    </row>
    <row r="7" spans="1:14" ht="15.75" x14ac:dyDescent="0.25">
      <c r="A7" s="44">
        <v>1000002</v>
      </c>
      <c r="B7" s="44">
        <v>4965803</v>
      </c>
      <c r="C7" s="54" t="s">
        <v>600</v>
      </c>
      <c r="D7" s="45">
        <v>1</v>
      </c>
      <c r="E7" s="45">
        <v>1</v>
      </c>
      <c r="F7" s="45">
        <v>1</v>
      </c>
      <c r="G7" s="46">
        <v>0.2</v>
      </c>
      <c r="H7" s="46">
        <v>0.56000000000000005</v>
      </c>
      <c r="I7" s="46">
        <v>1.2</v>
      </c>
      <c r="J7" s="47" t="s">
        <v>601</v>
      </c>
      <c r="K7" s="47" t="s">
        <v>602</v>
      </c>
      <c r="L7" s="47" t="s">
        <v>603</v>
      </c>
      <c r="M7" s="47"/>
      <c r="N7" s="55" t="s">
        <v>604</v>
      </c>
    </row>
    <row r="8" spans="1:14" ht="15.75" x14ac:dyDescent="0.25">
      <c r="A8" s="44">
        <v>1000003</v>
      </c>
      <c r="B8" s="44">
        <v>4965804</v>
      </c>
      <c r="C8" s="54" t="s">
        <v>600</v>
      </c>
      <c r="D8" s="45">
        <v>1</v>
      </c>
      <c r="E8" s="45">
        <v>1</v>
      </c>
      <c r="F8" s="45">
        <v>1</v>
      </c>
      <c r="G8" s="46">
        <v>0.2</v>
      </c>
      <c r="H8" s="46">
        <v>0.56000000000000005</v>
      </c>
      <c r="I8" s="46">
        <v>1.2</v>
      </c>
      <c r="J8" s="47" t="s">
        <v>601</v>
      </c>
      <c r="K8" s="47" t="s">
        <v>602</v>
      </c>
      <c r="L8" s="47" t="s">
        <v>603</v>
      </c>
      <c r="M8" s="47"/>
      <c r="N8" s="55" t="s">
        <v>604</v>
      </c>
    </row>
    <row r="9" spans="1:14" ht="15.75" x14ac:dyDescent="0.25">
      <c r="A9" s="44">
        <v>1000004</v>
      </c>
      <c r="B9" s="44">
        <v>4965805</v>
      </c>
      <c r="C9" s="54" t="s">
        <v>600</v>
      </c>
      <c r="D9" s="45">
        <v>1</v>
      </c>
      <c r="E9" s="45">
        <v>1</v>
      </c>
      <c r="F9" s="45">
        <v>1</v>
      </c>
      <c r="G9" s="46">
        <v>0.2</v>
      </c>
      <c r="H9" s="46">
        <v>0.56000000000000005</v>
      </c>
      <c r="I9" s="46">
        <v>1.2</v>
      </c>
      <c r="J9" s="47" t="s">
        <v>601</v>
      </c>
      <c r="K9" s="47" t="s">
        <v>602</v>
      </c>
      <c r="L9" s="47" t="s">
        <v>603</v>
      </c>
      <c r="M9" s="47"/>
      <c r="N9" s="55" t="s">
        <v>604</v>
      </c>
    </row>
    <row r="10" spans="1:14" ht="15.75" x14ac:dyDescent="0.25">
      <c r="A10" s="44">
        <v>1000005</v>
      </c>
      <c r="B10" s="44">
        <v>4965806</v>
      </c>
      <c r="C10" s="54" t="s">
        <v>600</v>
      </c>
      <c r="D10" s="45">
        <v>1</v>
      </c>
      <c r="E10" s="45">
        <v>1</v>
      </c>
      <c r="F10" s="45">
        <v>1</v>
      </c>
      <c r="G10" s="46">
        <v>0.2</v>
      </c>
      <c r="H10" s="46">
        <v>0.56000000000000005</v>
      </c>
      <c r="I10" s="46">
        <v>1.2</v>
      </c>
      <c r="J10" s="47" t="s">
        <v>601</v>
      </c>
      <c r="K10" s="47" t="s">
        <v>602</v>
      </c>
      <c r="L10" s="47" t="s">
        <v>603</v>
      </c>
      <c r="M10" s="47"/>
      <c r="N10" s="55" t="s">
        <v>604</v>
      </c>
    </row>
    <row r="11" spans="1:14" ht="15.75" x14ac:dyDescent="0.25">
      <c r="A11" s="44">
        <v>1000006</v>
      </c>
      <c r="B11" s="44">
        <v>4965807</v>
      </c>
      <c r="C11" s="54" t="s">
        <v>600</v>
      </c>
      <c r="D11" s="45">
        <v>1</v>
      </c>
      <c r="E11" s="45">
        <v>1</v>
      </c>
      <c r="F11" s="45">
        <v>1</v>
      </c>
      <c r="G11" s="46">
        <v>0.2</v>
      </c>
      <c r="H11" s="46">
        <v>0.56000000000000005</v>
      </c>
      <c r="I11" s="46">
        <v>1.2</v>
      </c>
      <c r="J11" s="47" t="s">
        <v>601</v>
      </c>
      <c r="K11" s="47" t="s">
        <v>602</v>
      </c>
      <c r="L11" s="47" t="s">
        <v>603</v>
      </c>
      <c r="M11" s="47"/>
      <c r="N11" s="55" t="s">
        <v>604</v>
      </c>
    </row>
    <row r="12" spans="1:14" ht="15.75" x14ac:dyDescent="0.25">
      <c r="A12" s="44">
        <v>1000007</v>
      </c>
      <c r="B12" s="44">
        <v>4965808</v>
      </c>
      <c r="C12" s="54" t="s">
        <v>600</v>
      </c>
      <c r="D12" s="45">
        <v>1</v>
      </c>
      <c r="E12" s="45">
        <v>1</v>
      </c>
      <c r="F12" s="45">
        <v>1</v>
      </c>
      <c r="G12" s="46">
        <v>0.2</v>
      </c>
      <c r="H12" s="46">
        <v>0.56000000000000005</v>
      </c>
      <c r="I12" s="46">
        <v>1.2</v>
      </c>
      <c r="J12" s="47" t="s">
        <v>601</v>
      </c>
      <c r="K12" s="47" t="s">
        <v>602</v>
      </c>
      <c r="L12" s="47" t="s">
        <v>603</v>
      </c>
      <c r="M12" s="47"/>
      <c r="N12" s="55" t="s">
        <v>604</v>
      </c>
    </row>
    <row r="13" spans="1:14" ht="15.75" x14ac:dyDescent="0.25">
      <c r="A13" s="44">
        <v>1000008</v>
      </c>
      <c r="B13" s="44">
        <v>4965809</v>
      </c>
      <c r="C13" s="54" t="s">
        <v>600</v>
      </c>
      <c r="D13" s="45">
        <v>1</v>
      </c>
      <c r="E13" s="45">
        <v>1</v>
      </c>
      <c r="F13" s="45">
        <v>1</v>
      </c>
      <c r="G13" s="46">
        <v>0.2</v>
      </c>
      <c r="H13" s="46">
        <v>0.56000000000000005</v>
      </c>
      <c r="I13" s="46">
        <v>1.2</v>
      </c>
      <c r="J13" s="47" t="s">
        <v>601</v>
      </c>
      <c r="K13" s="47" t="s">
        <v>602</v>
      </c>
      <c r="L13" s="47" t="s">
        <v>603</v>
      </c>
      <c r="M13" s="47"/>
      <c r="N13" s="55" t="s">
        <v>604</v>
      </c>
    </row>
    <row r="14" spans="1:14" ht="15.75" x14ac:dyDescent="0.25">
      <c r="A14" s="44">
        <v>1000009</v>
      </c>
      <c r="B14" s="44">
        <v>4965810</v>
      </c>
      <c r="C14" s="54" t="s">
        <v>600</v>
      </c>
      <c r="D14" s="45">
        <v>1</v>
      </c>
      <c r="E14" s="45">
        <v>1</v>
      </c>
      <c r="F14" s="45">
        <v>1</v>
      </c>
      <c r="G14" s="46">
        <v>0.2</v>
      </c>
      <c r="H14" s="46">
        <v>0.56000000000000005</v>
      </c>
      <c r="I14" s="46">
        <v>1.2</v>
      </c>
      <c r="J14" s="47" t="s">
        <v>601</v>
      </c>
      <c r="K14" s="47" t="s">
        <v>602</v>
      </c>
      <c r="L14" s="47" t="s">
        <v>603</v>
      </c>
      <c r="M14" s="47"/>
      <c r="N14" s="55" t="s">
        <v>604</v>
      </c>
    </row>
    <row r="15" spans="1:14" ht="15.75" x14ac:dyDescent="0.25">
      <c r="A15" s="44">
        <v>1000010</v>
      </c>
      <c r="B15" s="44">
        <v>4965811</v>
      </c>
      <c r="C15" s="54" t="s">
        <v>600</v>
      </c>
      <c r="D15" s="45">
        <v>1</v>
      </c>
      <c r="E15" s="45">
        <v>1</v>
      </c>
      <c r="F15" s="45">
        <v>1</v>
      </c>
      <c r="G15" s="46">
        <v>0.2</v>
      </c>
      <c r="H15" s="46">
        <v>0.56000000000000005</v>
      </c>
      <c r="I15" s="46">
        <v>1.2</v>
      </c>
      <c r="J15" s="47" t="s">
        <v>601</v>
      </c>
      <c r="K15" s="47" t="s">
        <v>602</v>
      </c>
      <c r="L15" s="47" t="s">
        <v>603</v>
      </c>
      <c r="M15" s="47"/>
      <c r="N15" s="55" t="s">
        <v>604</v>
      </c>
    </row>
    <row r="16" spans="1:14" ht="15.75" x14ac:dyDescent="0.25">
      <c r="A16" s="44">
        <v>1000011</v>
      </c>
      <c r="B16" s="44">
        <v>4965812</v>
      </c>
      <c r="C16" s="54" t="s">
        <v>600</v>
      </c>
      <c r="D16" s="45">
        <v>1</v>
      </c>
      <c r="E16" s="45">
        <v>1</v>
      </c>
      <c r="F16" s="45">
        <v>1</v>
      </c>
      <c r="G16" s="46">
        <v>0.2</v>
      </c>
      <c r="H16" s="46">
        <v>0.56000000000000005</v>
      </c>
      <c r="I16" s="46">
        <v>1.2</v>
      </c>
      <c r="J16" s="47" t="s">
        <v>601</v>
      </c>
      <c r="K16" s="47" t="s">
        <v>602</v>
      </c>
      <c r="L16" s="47" t="s">
        <v>603</v>
      </c>
      <c r="M16" s="47"/>
      <c r="N16" s="55" t="s">
        <v>604</v>
      </c>
    </row>
    <row r="17" spans="1:14" ht="15.75" x14ac:dyDescent="0.25">
      <c r="A17" s="44">
        <v>1000012</v>
      </c>
      <c r="B17" s="44">
        <v>4965813</v>
      </c>
      <c r="C17" s="54" t="s">
        <v>600</v>
      </c>
      <c r="D17" s="45">
        <v>1</v>
      </c>
      <c r="E17" s="45">
        <v>1</v>
      </c>
      <c r="F17" s="45">
        <v>1</v>
      </c>
      <c r="G17" s="46">
        <v>0.2</v>
      </c>
      <c r="H17" s="46">
        <v>0.56000000000000005</v>
      </c>
      <c r="I17" s="46">
        <v>1.2</v>
      </c>
      <c r="J17" s="47" t="s">
        <v>601</v>
      </c>
      <c r="K17" s="47" t="s">
        <v>602</v>
      </c>
      <c r="L17" s="47" t="s">
        <v>603</v>
      </c>
      <c r="M17" s="47"/>
      <c r="N17" s="55" t="s">
        <v>604</v>
      </c>
    </row>
    <row r="18" spans="1:14" ht="15.75" x14ac:dyDescent="0.25">
      <c r="A18" s="44">
        <v>1000013</v>
      </c>
      <c r="B18" s="44">
        <v>4965814</v>
      </c>
      <c r="C18" s="54" t="s">
        <v>600</v>
      </c>
      <c r="D18" s="45">
        <v>1</v>
      </c>
      <c r="E18" s="45">
        <v>1</v>
      </c>
      <c r="F18" s="45">
        <v>1</v>
      </c>
      <c r="G18" s="46">
        <v>0.2</v>
      </c>
      <c r="H18" s="46">
        <v>0.56000000000000005</v>
      </c>
      <c r="I18" s="46">
        <v>1.2</v>
      </c>
      <c r="J18" s="47" t="s">
        <v>601</v>
      </c>
      <c r="K18" s="47" t="s">
        <v>602</v>
      </c>
      <c r="L18" s="47" t="s">
        <v>603</v>
      </c>
      <c r="M18" s="47"/>
      <c r="N18" s="55" t="s">
        <v>604</v>
      </c>
    </row>
    <row r="19" spans="1:14" ht="15.75" x14ac:dyDescent="0.25">
      <c r="A19" s="44">
        <v>1000014</v>
      </c>
      <c r="B19" s="44">
        <v>4965815</v>
      </c>
      <c r="C19" s="54" t="s">
        <v>600</v>
      </c>
      <c r="D19" s="45">
        <v>1</v>
      </c>
      <c r="E19" s="45">
        <v>1</v>
      </c>
      <c r="F19" s="45">
        <v>1</v>
      </c>
      <c r="G19" s="46">
        <v>0.2</v>
      </c>
      <c r="H19" s="46">
        <v>0.56000000000000005</v>
      </c>
      <c r="I19" s="46">
        <v>1.2</v>
      </c>
      <c r="J19" s="47" t="s">
        <v>601</v>
      </c>
      <c r="K19" s="47" t="s">
        <v>602</v>
      </c>
      <c r="L19" s="47" t="s">
        <v>603</v>
      </c>
      <c r="M19" s="47"/>
      <c r="N19" s="55" t="s">
        <v>604</v>
      </c>
    </row>
    <row r="20" spans="1:14" ht="15.75" x14ac:dyDescent="0.25">
      <c r="A20" s="44">
        <v>1000015</v>
      </c>
      <c r="B20" s="44">
        <v>4965816</v>
      </c>
      <c r="C20" s="54" t="s">
        <v>600</v>
      </c>
      <c r="D20" s="45">
        <v>1</v>
      </c>
      <c r="E20" s="45">
        <v>1</v>
      </c>
      <c r="F20" s="45">
        <v>1</v>
      </c>
      <c r="G20" s="46">
        <v>0.2</v>
      </c>
      <c r="H20" s="46">
        <v>0.56000000000000005</v>
      </c>
      <c r="I20" s="46">
        <v>1.2</v>
      </c>
      <c r="J20" s="47" t="s">
        <v>601</v>
      </c>
      <c r="K20" s="47" t="s">
        <v>602</v>
      </c>
      <c r="L20" s="47" t="s">
        <v>603</v>
      </c>
      <c r="M20" s="47"/>
      <c r="N20" s="55" t="s">
        <v>604</v>
      </c>
    </row>
    <row r="21" spans="1:14" ht="15.75" x14ac:dyDescent="0.25">
      <c r="A21" s="44">
        <v>1000016</v>
      </c>
      <c r="B21" s="44">
        <v>4965817</v>
      </c>
      <c r="C21" s="54" t="s">
        <v>600</v>
      </c>
      <c r="D21" s="45">
        <v>1</v>
      </c>
      <c r="E21" s="45">
        <v>1</v>
      </c>
      <c r="F21" s="45">
        <v>1</v>
      </c>
      <c r="G21" s="46">
        <v>0.2</v>
      </c>
      <c r="H21" s="46">
        <v>0.56000000000000005</v>
      </c>
      <c r="I21" s="46">
        <v>1.2</v>
      </c>
      <c r="J21" s="47" t="s">
        <v>601</v>
      </c>
      <c r="K21" s="47" t="s">
        <v>602</v>
      </c>
      <c r="L21" s="47" t="s">
        <v>603</v>
      </c>
      <c r="M21" s="47"/>
      <c r="N21" s="55" t="s">
        <v>604</v>
      </c>
    </row>
    <row r="22" spans="1:14" ht="15.75" x14ac:dyDescent="0.25">
      <c r="A22" s="44">
        <v>1000017</v>
      </c>
      <c r="B22" s="44">
        <v>4965818</v>
      </c>
      <c r="C22" s="54" t="s">
        <v>600</v>
      </c>
      <c r="D22" s="45">
        <v>1</v>
      </c>
      <c r="E22" s="45">
        <v>1</v>
      </c>
      <c r="F22" s="45">
        <v>1</v>
      </c>
      <c r="G22" s="46">
        <v>0.2</v>
      </c>
      <c r="H22" s="46">
        <v>0.56000000000000005</v>
      </c>
      <c r="I22" s="46">
        <v>1.2</v>
      </c>
      <c r="J22" s="47" t="s">
        <v>601</v>
      </c>
      <c r="K22" s="47" t="s">
        <v>602</v>
      </c>
      <c r="L22" s="47" t="s">
        <v>603</v>
      </c>
      <c r="M22" s="47"/>
      <c r="N22" s="55" t="s">
        <v>604</v>
      </c>
    </row>
    <row r="23" spans="1:14" ht="15.75" x14ac:dyDescent="0.25">
      <c r="A23" s="44">
        <v>1000018</v>
      </c>
      <c r="B23" s="44">
        <v>4965819</v>
      </c>
      <c r="C23" s="54" t="s">
        <v>600</v>
      </c>
      <c r="D23" s="45">
        <v>1</v>
      </c>
      <c r="E23" s="45">
        <v>1</v>
      </c>
      <c r="F23" s="45">
        <v>1</v>
      </c>
      <c r="G23" s="46">
        <v>0.2</v>
      </c>
      <c r="H23" s="46">
        <v>0.56000000000000005</v>
      </c>
      <c r="I23" s="46">
        <v>1.2</v>
      </c>
      <c r="J23" s="47" t="s">
        <v>601</v>
      </c>
      <c r="K23" s="47" t="s">
        <v>602</v>
      </c>
      <c r="L23" s="47" t="s">
        <v>603</v>
      </c>
      <c r="M23" s="47"/>
      <c r="N23" s="55" t="s">
        <v>604</v>
      </c>
    </row>
    <row r="24" spans="1:14" ht="15.75" x14ac:dyDescent="0.25">
      <c r="A24" s="44">
        <v>1000019</v>
      </c>
      <c r="B24" s="44">
        <v>4965820</v>
      </c>
      <c r="C24" s="54" t="s">
        <v>600</v>
      </c>
      <c r="D24" s="45">
        <v>1</v>
      </c>
      <c r="E24" s="45">
        <v>1</v>
      </c>
      <c r="F24" s="45">
        <v>1</v>
      </c>
      <c r="G24" s="46">
        <v>0.2</v>
      </c>
      <c r="H24" s="46">
        <v>0.56000000000000005</v>
      </c>
      <c r="I24" s="46">
        <v>1.2</v>
      </c>
      <c r="J24" s="47" t="s">
        <v>601</v>
      </c>
      <c r="K24" s="47" t="s">
        <v>602</v>
      </c>
      <c r="L24" s="47" t="s">
        <v>603</v>
      </c>
      <c r="M24" s="47"/>
      <c r="N24" s="55" t="s">
        <v>604</v>
      </c>
    </row>
    <row r="25" spans="1:14" ht="15.75" x14ac:dyDescent="0.25">
      <c r="A25" s="44">
        <v>1000020</v>
      </c>
      <c r="B25" s="44">
        <v>4965821</v>
      </c>
      <c r="C25" s="54" t="s">
        <v>600</v>
      </c>
      <c r="D25" s="45">
        <v>1</v>
      </c>
      <c r="E25" s="45">
        <v>1</v>
      </c>
      <c r="F25" s="45">
        <v>1</v>
      </c>
      <c r="G25" s="46">
        <v>0.2</v>
      </c>
      <c r="H25" s="46">
        <v>0.56000000000000005</v>
      </c>
      <c r="I25" s="46">
        <v>1.2</v>
      </c>
      <c r="J25" s="47" t="s">
        <v>601</v>
      </c>
      <c r="K25" s="47" t="s">
        <v>602</v>
      </c>
      <c r="L25" s="47" t="s">
        <v>603</v>
      </c>
      <c r="M25" s="47"/>
      <c r="N25" s="55" t="s">
        <v>604</v>
      </c>
    </row>
    <row r="26" spans="1:14" ht="15.75" x14ac:dyDescent="0.25">
      <c r="A26" s="44">
        <v>1000021</v>
      </c>
      <c r="B26" s="44">
        <v>4965822</v>
      </c>
      <c r="C26" s="54" t="s">
        <v>600</v>
      </c>
      <c r="D26" s="45">
        <v>1</v>
      </c>
      <c r="E26" s="45">
        <v>1</v>
      </c>
      <c r="F26" s="45">
        <v>1</v>
      </c>
      <c r="G26" s="46">
        <v>0.2</v>
      </c>
      <c r="H26" s="46">
        <v>0.56000000000000005</v>
      </c>
      <c r="I26" s="46">
        <v>1.2</v>
      </c>
      <c r="J26" s="47" t="s">
        <v>601</v>
      </c>
      <c r="K26" s="47" t="s">
        <v>602</v>
      </c>
      <c r="L26" s="47" t="s">
        <v>603</v>
      </c>
      <c r="M26" s="47"/>
      <c r="N26" s="55" t="s">
        <v>604</v>
      </c>
    </row>
    <row r="27" spans="1:14" ht="15.75" x14ac:dyDescent="0.25">
      <c r="A27" s="44">
        <v>1000022</v>
      </c>
      <c r="B27" s="44">
        <v>4965823</v>
      </c>
      <c r="C27" s="54" t="s">
        <v>600</v>
      </c>
      <c r="D27" s="45">
        <v>1</v>
      </c>
      <c r="E27" s="45">
        <v>1</v>
      </c>
      <c r="F27" s="45">
        <v>1</v>
      </c>
      <c r="G27" s="46">
        <v>0.2</v>
      </c>
      <c r="H27" s="46">
        <v>0.56000000000000005</v>
      </c>
      <c r="I27" s="46">
        <v>1.2</v>
      </c>
      <c r="J27" s="47" t="s">
        <v>601</v>
      </c>
      <c r="K27" s="47" t="s">
        <v>602</v>
      </c>
      <c r="L27" s="47" t="s">
        <v>603</v>
      </c>
      <c r="M27" s="47"/>
      <c r="N27" s="55" t="s">
        <v>604</v>
      </c>
    </row>
    <row r="28" spans="1:14" ht="15.75" x14ac:dyDescent="0.25">
      <c r="A28" s="44">
        <v>1000023</v>
      </c>
      <c r="B28" s="44">
        <v>4965824</v>
      </c>
      <c r="C28" s="54" t="s">
        <v>600</v>
      </c>
      <c r="D28" s="45">
        <v>1</v>
      </c>
      <c r="E28" s="45">
        <v>1</v>
      </c>
      <c r="F28" s="45">
        <v>1</v>
      </c>
      <c r="G28" s="46">
        <v>0.2</v>
      </c>
      <c r="H28" s="46">
        <v>0.56000000000000005</v>
      </c>
      <c r="I28" s="46">
        <v>1.2</v>
      </c>
      <c r="J28" s="47" t="s">
        <v>601</v>
      </c>
      <c r="K28" s="47" t="s">
        <v>602</v>
      </c>
      <c r="L28" s="47" t="s">
        <v>603</v>
      </c>
      <c r="M28" s="47"/>
      <c r="N28" s="55" t="s">
        <v>604</v>
      </c>
    </row>
    <row r="29" spans="1:14" ht="15.75" x14ac:dyDescent="0.25">
      <c r="A29" s="44">
        <v>1000024</v>
      </c>
      <c r="B29" s="44">
        <v>4965825</v>
      </c>
      <c r="C29" s="54" t="s">
        <v>600</v>
      </c>
      <c r="D29" s="45">
        <v>1</v>
      </c>
      <c r="E29" s="45">
        <v>1</v>
      </c>
      <c r="F29" s="45">
        <v>1</v>
      </c>
      <c r="G29" s="46">
        <v>0.2</v>
      </c>
      <c r="H29" s="46">
        <v>0.56000000000000005</v>
      </c>
      <c r="I29" s="46">
        <v>1.2</v>
      </c>
      <c r="J29" s="47" t="s">
        <v>601</v>
      </c>
      <c r="K29" s="47" t="s">
        <v>602</v>
      </c>
      <c r="L29" s="47" t="s">
        <v>603</v>
      </c>
      <c r="M29" s="47"/>
      <c r="N29" s="55" t="s">
        <v>604</v>
      </c>
    </row>
    <row r="30" spans="1:14" ht="15.75" x14ac:dyDescent="0.25">
      <c r="A30" s="44">
        <v>1000025</v>
      </c>
      <c r="B30" s="44">
        <v>4965826</v>
      </c>
      <c r="C30" s="54" t="s">
        <v>600</v>
      </c>
      <c r="D30" s="45">
        <v>1</v>
      </c>
      <c r="E30" s="45">
        <v>1</v>
      </c>
      <c r="F30" s="45">
        <v>1</v>
      </c>
      <c r="G30" s="46">
        <v>0.2</v>
      </c>
      <c r="H30" s="46">
        <v>0.56000000000000005</v>
      </c>
      <c r="I30" s="46">
        <v>1.2</v>
      </c>
      <c r="J30" s="47" t="s">
        <v>601</v>
      </c>
      <c r="K30" s="47" t="s">
        <v>602</v>
      </c>
      <c r="L30" s="47" t="s">
        <v>603</v>
      </c>
      <c r="M30" s="47"/>
      <c r="N30" s="55" t="s">
        <v>604</v>
      </c>
    </row>
    <row r="31" spans="1:14" ht="15.75" x14ac:dyDescent="0.25">
      <c r="A31" s="44">
        <v>1000026</v>
      </c>
      <c r="B31" s="44">
        <v>4965827</v>
      </c>
      <c r="C31" s="54" t="s">
        <v>600</v>
      </c>
      <c r="D31" s="45">
        <v>1</v>
      </c>
      <c r="E31" s="45">
        <v>1</v>
      </c>
      <c r="F31" s="45">
        <v>1</v>
      </c>
      <c r="G31" s="46">
        <v>0.2</v>
      </c>
      <c r="H31" s="46">
        <v>0.56000000000000005</v>
      </c>
      <c r="I31" s="46">
        <v>1.2</v>
      </c>
      <c r="J31" s="47" t="s">
        <v>601</v>
      </c>
      <c r="K31" s="47" t="s">
        <v>602</v>
      </c>
      <c r="L31" s="47" t="s">
        <v>603</v>
      </c>
      <c r="M31" s="47"/>
      <c r="N31" s="55" t="s">
        <v>604</v>
      </c>
    </row>
    <row r="32" spans="1:14" ht="15.75" x14ac:dyDescent="0.25">
      <c r="A32" s="44">
        <v>1000027</v>
      </c>
      <c r="B32" s="44">
        <v>4965828</v>
      </c>
      <c r="C32" s="54" t="s">
        <v>600</v>
      </c>
      <c r="D32" s="45">
        <v>1</v>
      </c>
      <c r="E32" s="45">
        <v>1</v>
      </c>
      <c r="F32" s="45">
        <v>1</v>
      </c>
      <c r="G32" s="46">
        <v>0.2</v>
      </c>
      <c r="H32" s="46">
        <v>0.56000000000000005</v>
      </c>
      <c r="I32" s="46">
        <v>1.2</v>
      </c>
      <c r="J32" s="47" t="s">
        <v>601</v>
      </c>
      <c r="K32" s="47" t="s">
        <v>602</v>
      </c>
      <c r="L32" s="47" t="s">
        <v>603</v>
      </c>
      <c r="M32" s="47"/>
      <c r="N32" s="55" t="s">
        <v>604</v>
      </c>
    </row>
    <row r="33" spans="1:14" ht="15.75" x14ac:dyDescent="0.25">
      <c r="A33" s="44">
        <v>1000028</v>
      </c>
      <c r="B33" s="44">
        <v>4965829</v>
      </c>
      <c r="C33" s="54" t="s">
        <v>600</v>
      </c>
      <c r="D33" s="45">
        <v>1</v>
      </c>
      <c r="E33" s="45">
        <v>1</v>
      </c>
      <c r="F33" s="45">
        <v>1</v>
      </c>
      <c r="G33" s="46">
        <v>0.2</v>
      </c>
      <c r="H33" s="46">
        <v>0.56000000000000005</v>
      </c>
      <c r="I33" s="46">
        <v>1.2</v>
      </c>
      <c r="J33" s="47" t="s">
        <v>601</v>
      </c>
      <c r="K33" s="47" t="s">
        <v>602</v>
      </c>
      <c r="L33" s="47" t="s">
        <v>603</v>
      </c>
      <c r="M33" s="47"/>
      <c r="N33" s="55" t="s">
        <v>604</v>
      </c>
    </row>
    <row r="34" spans="1:14" ht="15.75" x14ac:dyDescent="0.25">
      <c r="A34" s="44">
        <v>1000029</v>
      </c>
      <c r="B34" s="44">
        <v>4965830</v>
      </c>
      <c r="C34" s="54" t="s">
        <v>600</v>
      </c>
      <c r="D34" s="45">
        <v>1</v>
      </c>
      <c r="E34" s="45">
        <v>1</v>
      </c>
      <c r="F34" s="45">
        <v>1</v>
      </c>
      <c r="G34" s="46">
        <v>0.2</v>
      </c>
      <c r="H34" s="46">
        <v>0.56000000000000005</v>
      </c>
      <c r="I34" s="46">
        <v>1.2</v>
      </c>
      <c r="J34" s="47" t="s">
        <v>601</v>
      </c>
      <c r="K34" s="47" t="s">
        <v>602</v>
      </c>
      <c r="L34" s="47" t="s">
        <v>603</v>
      </c>
      <c r="M34" s="47"/>
      <c r="N34" s="55" t="s">
        <v>604</v>
      </c>
    </row>
    <row r="35" spans="1:14" ht="15.75" x14ac:dyDescent="0.25">
      <c r="A35" s="44"/>
      <c r="B35" s="44"/>
      <c r="C35" s="54"/>
      <c r="D35" s="45"/>
      <c r="E35" s="45"/>
      <c r="F35" s="45">
        <f t="shared" ref="F34:F70" si="0">D35*E35</f>
        <v>0</v>
      </c>
      <c r="G35" s="46"/>
      <c r="H35" s="46"/>
      <c r="I35" s="46"/>
      <c r="J35" s="47"/>
      <c r="K35" s="47"/>
      <c r="L35" s="47"/>
      <c r="M35" s="47"/>
      <c r="N35" s="55"/>
    </row>
    <row r="36" spans="1:14" ht="15.75" x14ac:dyDescent="0.25">
      <c r="A36" s="44"/>
      <c r="B36" s="44"/>
      <c r="C36" s="54"/>
      <c r="D36" s="45"/>
      <c r="E36" s="45"/>
      <c r="F36" s="45">
        <f t="shared" si="0"/>
        <v>0</v>
      </c>
      <c r="G36" s="46"/>
      <c r="H36" s="46"/>
      <c r="I36" s="46"/>
      <c r="J36" s="47"/>
      <c r="K36" s="47"/>
      <c r="L36" s="47"/>
      <c r="M36" s="47"/>
      <c r="N36" s="55"/>
    </row>
    <row r="37" spans="1:14" ht="15.75" x14ac:dyDescent="0.25">
      <c r="A37" s="44"/>
      <c r="B37" s="44"/>
      <c r="C37" s="54"/>
      <c r="D37" s="45"/>
      <c r="E37" s="45"/>
      <c r="F37" s="45">
        <f t="shared" si="0"/>
        <v>0</v>
      </c>
      <c r="G37" s="46"/>
      <c r="H37" s="46"/>
      <c r="I37" s="46"/>
      <c r="J37" s="47"/>
      <c r="K37" s="47"/>
      <c r="L37" s="47"/>
      <c r="M37" s="47"/>
      <c r="N37" s="55"/>
    </row>
    <row r="38" spans="1:14" ht="15.75" x14ac:dyDescent="0.25">
      <c r="A38" s="44"/>
      <c r="B38" s="44"/>
      <c r="C38" s="54"/>
      <c r="D38" s="45"/>
      <c r="E38" s="45"/>
      <c r="F38" s="45">
        <f t="shared" si="0"/>
        <v>0</v>
      </c>
      <c r="G38" s="46"/>
      <c r="H38" s="46"/>
      <c r="I38" s="46"/>
      <c r="J38" s="47"/>
      <c r="K38" s="47"/>
      <c r="L38" s="47"/>
      <c r="M38" s="47"/>
      <c r="N38" s="55"/>
    </row>
    <row r="39" spans="1:14" ht="15.75" x14ac:dyDescent="0.25">
      <c r="A39" s="44"/>
      <c r="B39" s="44"/>
      <c r="C39" s="54"/>
      <c r="D39" s="45"/>
      <c r="E39" s="45"/>
      <c r="F39" s="45">
        <f t="shared" si="0"/>
        <v>0</v>
      </c>
      <c r="G39" s="46"/>
      <c r="H39" s="46"/>
      <c r="I39" s="46"/>
      <c r="J39" s="47"/>
      <c r="K39" s="47"/>
      <c r="L39" s="47"/>
      <c r="M39" s="47"/>
      <c r="N39" s="55"/>
    </row>
    <row r="40" spans="1:14" ht="15.75" x14ac:dyDescent="0.25">
      <c r="A40" s="44"/>
      <c r="B40" s="44"/>
      <c r="C40" s="54"/>
      <c r="D40" s="45"/>
      <c r="E40" s="45"/>
      <c r="F40" s="45">
        <f t="shared" si="0"/>
        <v>0</v>
      </c>
      <c r="G40" s="46"/>
      <c r="H40" s="46"/>
      <c r="I40" s="46"/>
      <c r="J40" s="47"/>
      <c r="K40" s="47"/>
      <c r="L40" s="47"/>
      <c r="M40" s="47"/>
      <c r="N40" s="55"/>
    </row>
    <row r="41" spans="1:14" ht="15.75" x14ac:dyDescent="0.25">
      <c r="A41" s="44"/>
      <c r="B41" s="44"/>
      <c r="C41" s="54"/>
      <c r="D41" s="45"/>
      <c r="E41" s="45"/>
      <c r="F41" s="45">
        <f t="shared" si="0"/>
        <v>0</v>
      </c>
      <c r="G41" s="46"/>
      <c r="H41" s="46"/>
      <c r="I41" s="46"/>
      <c r="J41" s="47"/>
      <c r="K41" s="47"/>
      <c r="L41" s="47"/>
      <c r="M41" s="47"/>
      <c r="N41" s="55"/>
    </row>
    <row r="42" spans="1:14" ht="15.75" x14ac:dyDescent="0.25">
      <c r="A42" s="44"/>
      <c r="B42" s="44"/>
      <c r="C42" s="54"/>
      <c r="D42" s="45"/>
      <c r="E42" s="45"/>
      <c r="F42" s="45">
        <f t="shared" si="0"/>
        <v>0</v>
      </c>
      <c r="G42" s="46"/>
      <c r="H42" s="46"/>
      <c r="I42" s="46"/>
      <c r="J42" s="47"/>
      <c r="K42" s="47"/>
      <c r="L42" s="47"/>
      <c r="M42" s="47"/>
      <c r="N42" s="55"/>
    </row>
    <row r="43" spans="1:14" ht="15.75" x14ac:dyDescent="0.25">
      <c r="A43" s="44"/>
      <c r="B43" s="44"/>
      <c r="C43" s="54"/>
      <c r="D43" s="45"/>
      <c r="E43" s="45"/>
      <c r="F43" s="45">
        <f t="shared" si="0"/>
        <v>0</v>
      </c>
      <c r="G43" s="46"/>
      <c r="H43" s="46"/>
      <c r="I43" s="46"/>
      <c r="J43" s="47"/>
      <c r="K43" s="47"/>
      <c r="L43" s="47"/>
      <c r="M43" s="47"/>
      <c r="N43" s="55"/>
    </row>
    <row r="44" spans="1:14" ht="15.75" x14ac:dyDescent="0.25">
      <c r="A44" s="44"/>
      <c r="B44" s="44"/>
      <c r="C44" s="54"/>
      <c r="D44" s="45"/>
      <c r="E44" s="45"/>
      <c r="F44" s="45">
        <f t="shared" si="0"/>
        <v>0</v>
      </c>
      <c r="G44" s="46"/>
      <c r="H44" s="46"/>
      <c r="I44" s="46"/>
      <c r="J44" s="47"/>
      <c r="K44" s="47"/>
      <c r="L44" s="47"/>
      <c r="M44" s="47"/>
      <c r="N44" s="55"/>
    </row>
    <row r="45" spans="1:14" ht="15.75" x14ac:dyDescent="0.25">
      <c r="A45" s="44"/>
      <c r="B45" s="44"/>
      <c r="C45" s="54"/>
      <c r="D45" s="45"/>
      <c r="E45" s="45"/>
      <c r="F45" s="45">
        <f t="shared" si="0"/>
        <v>0</v>
      </c>
      <c r="G45" s="46"/>
      <c r="H45" s="46"/>
      <c r="I45" s="46"/>
      <c r="J45" s="47"/>
      <c r="K45" s="47"/>
      <c r="L45" s="47"/>
      <c r="M45" s="47"/>
      <c r="N45" s="55"/>
    </row>
    <row r="46" spans="1:14" ht="15.75" x14ac:dyDescent="0.25">
      <c r="A46" s="44"/>
      <c r="B46" s="44"/>
      <c r="C46" s="54"/>
      <c r="D46" s="45"/>
      <c r="E46" s="45"/>
      <c r="F46" s="45">
        <f t="shared" si="0"/>
        <v>0</v>
      </c>
      <c r="G46" s="46"/>
      <c r="H46" s="46"/>
      <c r="I46" s="46"/>
      <c r="J46" s="47"/>
      <c r="K46" s="47"/>
      <c r="L46" s="47"/>
      <c r="M46" s="47"/>
      <c r="N46" s="55"/>
    </row>
    <row r="47" spans="1:14" ht="15.75" x14ac:dyDescent="0.25">
      <c r="A47" s="44"/>
      <c r="B47" s="44"/>
      <c r="C47" s="54"/>
      <c r="D47" s="45"/>
      <c r="E47" s="45"/>
      <c r="F47" s="45">
        <f t="shared" si="0"/>
        <v>0</v>
      </c>
      <c r="G47" s="46"/>
      <c r="H47" s="46"/>
      <c r="I47" s="46"/>
      <c r="J47" s="47"/>
      <c r="K47" s="47"/>
      <c r="L47" s="47"/>
      <c r="M47" s="47"/>
      <c r="N47" s="55"/>
    </row>
    <row r="48" spans="1:14" ht="15.75" x14ac:dyDescent="0.25">
      <c r="A48" s="44"/>
      <c r="B48" s="44"/>
      <c r="C48" s="54"/>
      <c r="D48" s="45"/>
      <c r="E48" s="45"/>
      <c r="F48" s="45">
        <f t="shared" si="0"/>
        <v>0</v>
      </c>
      <c r="G48" s="46"/>
      <c r="H48" s="46"/>
      <c r="I48" s="46"/>
      <c r="J48" s="47"/>
      <c r="K48" s="47"/>
      <c r="L48" s="47"/>
      <c r="M48" s="47"/>
      <c r="N48" s="55"/>
    </row>
    <row r="49" spans="1:14" ht="15.75" x14ac:dyDescent="0.25">
      <c r="A49" s="44"/>
      <c r="B49" s="44"/>
      <c r="C49" s="54"/>
      <c r="D49" s="45"/>
      <c r="E49" s="45"/>
      <c r="F49" s="45">
        <f t="shared" si="0"/>
        <v>0</v>
      </c>
      <c r="G49" s="46"/>
      <c r="H49" s="46"/>
      <c r="I49" s="46"/>
      <c r="J49" s="47"/>
      <c r="K49" s="47"/>
      <c r="L49" s="47"/>
      <c r="M49" s="47"/>
      <c r="N49" s="55"/>
    </row>
    <row r="50" spans="1:14" ht="15.75" x14ac:dyDescent="0.25">
      <c r="A50" s="44"/>
      <c r="B50" s="44"/>
      <c r="C50" s="54"/>
      <c r="D50" s="45"/>
      <c r="E50" s="45"/>
      <c r="F50" s="45">
        <f t="shared" si="0"/>
        <v>0</v>
      </c>
      <c r="G50" s="46"/>
      <c r="H50" s="46"/>
      <c r="I50" s="46"/>
      <c r="J50" s="47"/>
      <c r="K50" s="47"/>
      <c r="L50" s="47"/>
      <c r="M50" s="47"/>
      <c r="N50" s="55"/>
    </row>
    <row r="51" spans="1:14" ht="15.75" x14ac:dyDescent="0.25">
      <c r="A51" s="44"/>
      <c r="B51" s="44"/>
      <c r="C51" s="54"/>
      <c r="D51" s="45"/>
      <c r="E51" s="45"/>
      <c r="F51" s="45">
        <f t="shared" si="0"/>
        <v>0</v>
      </c>
      <c r="G51" s="46"/>
      <c r="H51" s="46"/>
      <c r="I51" s="46"/>
      <c r="J51" s="47"/>
      <c r="K51" s="47"/>
      <c r="L51" s="47"/>
      <c r="M51" s="47"/>
      <c r="N51" s="55"/>
    </row>
    <row r="52" spans="1:14" ht="15.75" x14ac:dyDescent="0.25">
      <c r="A52" s="44"/>
      <c r="B52" s="44"/>
      <c r="C52" s="54"/>
      <c r="D52" s="45"/>
      <c r="E52" s="45"/>
      <c r="F52" s="45">
        <f t="shared" si="0"/>
        <v>0</v>
      </c>
      <c r="G52" s="46"/>
      <c r="H52" s="46"/>
      <c r="I52" s="46"/>
      <c r="J52" s="47"/>
      <c r="K52" s="47"/>
      <c r="L52" s="47"/>
      <c r="M52" s="47"/>
      <c r="N52" s="55"/>
    </row>
    <row r="53" spans="1:14" ht="15.75" x14ac:dyDescent="0.25">
      <c r="A53" s="44"/>
      <c r="B53" s="44"/>
      <c r="C53" s="54"/>
      <c r="D53" s="45"/>
      <c r="E53" s="45"/>
      <c r="F53" s="45">
        <f t="shared" si="0"/>
        <v>0</v>
      </c>
      <c r="G53" s="46"/>
      <c r="H53" s="46"/>
      <c r="I53" s="46"/>
      <c r="J53" s="47"/>
      <c r="K53" s="47"/>
      <c r="L53" s="47"/>
      <c r="M53" s="47"/>
      <c r="N53" s="55"/>
    </row>
    <row r="54" spans="1:14" ht="15.75" x14ac:dyDescent="0.25">
      <c r="A54" s="44"/>
      <c r="B54" s="44"/>
      <c r="C54" s="54"/>
      <c r="D54" s="45"/>
      <c r="E54" s="45"/>
      <c r="F54" s="45">
        <f t="shared" si="0"/>
        <v>0</v>
      </c>
      <c r="G54" s="46"/>
      <c r="H54" s="46"/>
      <c r="I54" s="46"/>
      <c r="J54" s="47"/>
      <c r="K54" s="47"/>
      <c r="L54" s="47"/>
      <c r="M54" s="47"/>
      <c r="N54" s="55"/>
    </row>
    <row r="55" spans="1:14" ht="15.75" x14ac:dyDescent="0.25">
      <c r="A55" s="44"/>
      <c r="B55" s="44"/>
      <c r="C55" s="54"/>
      <c r="D55" s="45"/>
      <c r="E55" s="45"/>
      <c r="F55" s="45">
        <f t="shared" si="0"/>
        <v>0</v>
      </c>
      <c r="G55" s="46"/>
      <c r="H55" s="46"/>
      <c r="I55" s="46"/>
      <c r="J55" s="47"/>
      <c r="K55" s="47"/>
      <c r="L55" s="47"/>
      <c r="M55" s="47"/>
      <c r="N55" s="55"/>
    </row>
    <row r="56" spans="1:14" ht="15.75" x14ac:dyDescent="0.25">
      <c r="A56" s="44"/>
      <c r="B56" s="44"/>
      <c r="C56" s="54"/>
      <c r="D56" s="45"/>
      <c r="E56" s="45"/>
      <c r="F56" s="45">
        <f t="shared" si="0"/>
        <v>0</v>
      </c>
      <c r="G56" s="46"/>
      <c r="H56" s="46"/>
      <c r="I56" s="46"/>
      <c r="J56" s="47"/>
      <c r="K56" s="47"/>
      <c r="L56" s="47"/>
      <c r="M56" s="47"/>
      <c r="N56" s="55"/>
    </row>
    <row r="57" spans="1:14" ht="15.75" x14ac:dyDescent="0.25">
      <c r="A57" s="44"/>
      <c r="B57" s="44"/>
      <c r="C57" s="54"/>
      <c r="D57" s="45"/>
      <c r="E57" s="45"/>
      <c r="F57" s="45">
        <f t="shared" si="0"/>
        <v>0</v>
      </c>
      <c r="G57" s="46"/>
      <c r="H57" s="46"/>
      <c r="I57" s="46"/>
      <c r="J57" s="47"/>
      <c r="K57" s="47"/>
      <c r="L57" s="47"/>
      <c r="M57" s="47"/>
      <c r="N57" s="55"/>
    </row>
    <row r="58" spans="1:14" ht="15.75" x14ac:dyDescent="0.25">
      <c r="A58" s="44"/>
      <c r="B58" s="44"/>
      <c r="C58" s="54"/>
      <c r="D58" s="45"/>
      <c r="E58" s="45"/>
      <c r="F58" s="45">
        <f t="shared" si="0"/>
        <v>0</v>
      </c>
      <c r="G58" s="46"/>
      <c r="H58" s="46"/>
      <c r="I58" s="46"/>
      <c r="J58" s="47"/>
      <c r="K58" s="47"/>
      <c r="L58" s="47"/>
      <c r="M58" s="47"/>
      <c r="N58" s="55"/>
    </row>
    <row r="59" spans="1:14" ht="15.75" x14ac:dyDescent="0.25">
      <c r="A59" s="44"/>
      <c r="B59" s="44"/>
      <c r="C59" s="54"/>
      <c r="D59" s="45"/>
      <c r="E59" s="45"/>
      <c r="F59" s="45">
        <f t="shared" si="0"/>
        <v>0</v>
      </c>
      <c r="G59" s="46"/>
      <c r="H59" s="46"/>
      <c r="I59" s="46"/>
      <c r="J59" s="47"/>
      <c r="K59" s="47"/>
      <c r="L59" s="47"/>
      <c r="M59" s="47"/>
      <c r="N59" s="55"/>
    </row>
    <row r="60" spans="1:14" ht="15.75" x14ac:dyDescent="0.25">
      <c r="A60" s="44"/>
      <c r="B60" s="44"/>
      <c r="C60" s="54"/>
      <c r="D60" s="45"/>
      <c r="E60" s="45"/>
      <c r="F60" s="45">
        <f t="shared" si="0"/>
        <v>0</v>
      </c>
      <c r="G60" s="46"/>
      <c r="H60" s="46"/>
      <c r="I60" s="46"/>
      <c r="J60" s="47"/>
      <c r="K60" s="47"/>
      <c r="L60" s="47"/>
      <c r="M60" s="47"/>
      <c r="N60" s="55"/>
    </row>
    <row r="61" spans="1:14" ht="15.75" x14ac:dyDescent="0.25">
      <c r="A61" s="44"/>
      <c r="B61" s="44"/>
      <c r="C61" s="54"/>
      <c r="D61" s="45"/>
      <c r="E61" s="45"/>
      <c r="F61" s="45">
        <f t="shared" si="0"/>
        <v>0</v>
      </c>
      <c r="G61" s="46"/>
      <c r="H61" s="46"/>
      <c r="I61" s="46"/>
      <c r="J61" s="47"/>
      <c r="K61" s="47"/>
      <c r="L61" s="47"/>
      <c r="M61" s="47"/>
      <c r="N61" s="55"/>
    </row>
    <row r="62" spans="1:14" ht="15.75" x14ac:dyDescent="0.25">
      <c r="A62" s="44"/>
      <c r="B62" s="44"/>
      <c r="C62" s="54"/>
      <c r="D62" s="45"/>
      <c r="E62" s="45"/>
      <c r="F62" s="45">
        <f t="shared" si="0"/>
        <v>0</v>
      </c>
      <c r="G62" s="46"/>
      <c r="H62" s="46"/>
      <c r="I62" s="46"/>
      <c r="J62" s="47"/>
      <c r="K62" s="47"/>
      <c r="L62" s="47"/>
      <c r="M62" s="47"/>
      <c r="N62" s="55"/>
    </row>
    <row r="63" spans="1:14" ht="15.75" x14ac:dyDescent="0.25">
      <c r="A63" s="44"/>
      <c r="B63" s="44"/>
      <c r="C63" s="54"/>
      <c r="D63" s="45"/>
      <c r="E63" s="45"/>
      <c r="F63" s="45">
        <f t="shared" si="0"/>
        <v>0</v>
      </c>
      <c r="G63" s="46"/>
      <c r="H63" s="46"/>
      <c r="I63" s="46"/>
      <c r="J63" s="47"/>
      <c r="K63" s="47"/>
      <c r="L63" s="47"/>
      <c r="M63" s="47"/>
      <c r="N63" s="55"/>
    </row>
    <row r="64" spans="1:14" ht="15.75" x14ac:dyDescent="0.25">
      <c r="A64" s="44"/>
      <c r="B64" s="44"/>
      <c r="C64" s="54"/>
      <c r="D64" s="45"/>
      <c r="E64" s="45"/>
      <c r="F64" s="45">
        <f t="shared" si="0"/>
        <v>0</v>
      </c>
      <c r="G64" s="46"/>
      <c r="H64" s="46"/>
      <c r="I64" s="46"/>
      <c r="J64" s="47"/>
      <c r="K64" s="47"/>
      <c r="L64" s="47"/>
      <c r="M64" s="47"/>
      <c r="N64" s="55"/>
    </row>
    <row r="65" spans="1:14" ht="15.75" x14ac:dyDescent="0.25">
      <c r="A65" s="44"/>
      <c r="B65" s="44"/>
      <c r="C65" s="54"/>
      <c r="D65" s="45"/>
      <c r="E65" s="45"/>
      <c r="F65" s="45">
        <f t="shared" si="0"/>
        <v>0</v>
      </c>
      <c r="G65" s="46"/>
      <c r="H65" s="46"/>
      <c r="I65" s="46"/>
      <c r="J65" s="47"/>
      <c r="K65" s="47"/>
      <c r="L65" s="47"/>
      <c r="M65" s="47"/>
      <c r="N65" s="55"/>
    </row>
    <row r="66" spans="1:14" ht="15.75" x14ac:dyDescent="0.25">
      <c r="A66" s="44"/>
      <c r="B66" s="44"/>
      <c r="C66" s="54"/>
      <c r="D66" s="45"/>
      <c r="E66" s="45"/>
      <c r="F66" s="45">
        <f t="shared" si="0"/>
        <v>0</v>
      </c>
      <c r="G66" s="46"/>
      <c r="H66" s="46"/>
      <c r="I66" s="46"/>
      <c r="J66" s="47"/>
      <c r="K66" s="47"/>
      <c r="L66" s="47"/>
      <c r="M66" s="47"/>
      <c r="N66" s="55"/>
    </row>
    <row r="67" spans="1:14" ht="15.75" x14ac:dyDescent="0.25">
      <c r="A67" s="44"/>
      <c r="B67" s="44"/>
      <c r="C67" s="54"/>
      <c r="D67" s="45"/>
      <c r="E67" s="45"/>
      <c r="F67" s="45">
        <f t="shared" si="0"/>
        <v>0</v>
      </c>
      <c r="G67" s="46"/>
      <c r="H67" s="46"/>
      <c r="I67" s="46"/>
      <c r="J67" s="47"/>
      <c r="K67" s="47"/>
      <c r="L67" s="47"/>
      <c r="M67" s="47"/>
      <c r="N67" s="55"/>
    </row>
    <row r="68" spans="1:14" ht="15.75" x14ac:dyDescent="0.25">
      <c r="A68" s="44"/>
      <c r="B68" s="44"/>
      <c r="C68" s="54"/>
      <c r="D68" s="45"/>
      <c r="E68" s="45"/>
      <c r="F68" s="45">
        <f t="shared" si="0"/>
        <v>0</v>
      </c>
      <c r="G68" s="46"/>
      <c r="H68" s="46"/>
      <c r="I68" s="46"/>
      <c r="J68" s="47"/>
      <c r="K68" s="47"/>
      <c r="L68" s="47"/>
      <c r="M68" s="47"/>
      <c r="N68" s="55"/>
    </row>
    <row r="69" spans="1:14" ht="15.75" x14ac:dyDescent="0.25">
      <c r="A69" s="44"/>
      <c r="B69" s="44"/>
      <c r="C69" s="54"/>
      <c r="D69" s="45"/>
      <c r="E69" s="45"/>
      <c r="F69" s="45">
        <f t="shared" si="0"/>
        <v>0</v>
      </c>
      <c r="G69" s="46"/>
      <c r="H69" s="46"/>
      <c r="I69" s="46"/>
      <c r="J69" s="47"/>
      <c r="K69" s="47"/>
      <c r="L69" s="47"/>
      <c r="M69" s="47"/>
      <c r="N69" s="55"/>
    </row>
    <row r="70" spans="1:14" ht="15.75" x14ac:dyDescent="0.25">
      <c r="A70" s="44"/>
      <c r="B70" s="44"/>
      <c r="C70" s="54"/>
      <c r="D70" s="45"/>
      <c r="E70" s="45"/>
      <c r="F70" s="45">
        <f t="shared" si="0"/>
        <v>0</v>
      </c>
      <c r="G70" s="46"/>
      <c r="H70" s="46"/>
      <c r="I70" s="46"/>
      <c r="J70" s="47"/>
      <c r="K70" s="47"/>
      <c r="L70" s="47"/>
      <c r="M70" s="47"/>
      <c r="N70" s="55"/>
    </row>
    <row r="71" spans="1:14" ht="15.75" x14ac:dyDescent="0.25">
      <c r="A71" s="44"/>
      <c r="B71" s="44"/>
      <c r="C71" s="54"/>
      <c r="D71" s="45"/>
      <c r="E71" s="45"/>
      <c r="F71" s="45">
        <f t="shared" ref="F71:F134" si="1">D71*E71</f>
        <v>0</v>
      </c>
      <c r="G71" s="46"/>
      <c r="H71" s="46"/>
      <c r="I71" s="46"/>
      <c r="J71" s="47"/>
      <c r="K71" s="47"/>
      <c r="L71" s="47"/>
      <c r="M71" s="47"/>
      <c r="N71" s="55"/>
    </row>
    <row r="72" spans="1:14" ht="15.75" x14ac:dyDescent="0.25">
      <c r="A72" s="44"/>
      <c r="B72" s="44"/>
      <c r="C72" s="54"/>
      <c r="D72" s="45"/>
      <c r="E72" s="45"/>
      <c r="F72" s="45">
        <f t="shared" si="1"/>
        <v>0</v>
      </c>
      <c r="G72" s="46"/>
      <c r="H72" s="46"/>
      <c r="I72" s="46"/>
      <c r="J72" s="47"/>
      <c r="K72" s="47"/>
      <c r="L72" s="47"/>
      <c r="M72" s="47"/>
      <c r="N72" s="55"/>
    </row>
    <row r="73" spans="1:14" ht="15.75" x14ac:dyDescent="0.25">
      <c r="A73" s="44"/>
      <c r="B73" s="44"/>
      <c r="C73" s="54"/>
      <c r="D73" s="45"/>
      <c r="E73" s="45"/>
      <c r="F73" s="45">
        <f t="shared" si="1"/>
        <v>0</v>
      </c>
      <c r="G73" s="46"/>
      <c r="H73" s="46"/>
      <c r="I73" s="46"/>
      <c r="J73" s="47"/>
      <c r="K73" s="47"/>
      <c r="L73" s="47"/>
      <c r="M73" s="47"/>
      <c r="N73" s="55"/>
    </row>
    <row r="74" spans="1:14" ht="15.75" x14ac:dyDescent="0.25">
      <c r="A74" s="44"/>
      <c r="B74" s="44"/>
      <c r="C74" s="54"/>
      <c r="D74" s="45"/>
      <c r="E74" s="45"/>
      <c r="F74" s="45">
        <f t="shared" si="1"/>
        <v>0</v>
      </c>
      <c r="G74" s="46"/>
      <c r="H74" s="46"/>
      <c r="I74" s="46"/>
      <c r="J74" s="47"/>
      <c r="K74" s="47"/>
      <c r="L74" s="47"/>
      <c r="M74" s="47"/>
      <c r="N74" s="55"/>
    </row>
    <row r="75" spans="1:14" ht="15.75" x14ac:dyDescent="0.25">
      <c r="A75" s="44"/>
      <c r="B75" s="44"/>
      <c r="C75" s="54"/>
      <c r="D75" s="45"/>
      <c r="E75" s="45"/>
      <c r="F75" s="45">
        <f t="shared" si="1"/>
        <v>0</v>
      </c>
      <c r="G75" s="46"/>
      <c r="H75" s="46"/>
      <c r="I75" s="46"/>
      <c r="J75" s="47"/>
      <c r="K75" s="47"/>
      <c r="L75" s="47"/>
      <c r="M75" s="47"/>
      <c r="N75" s="55"/>
    </row>
    <row r="76" spans="1:14" ht="15.75" x14ac:dyDescent="0.25">
      <c r="A76" s="44"/>
      <c r="B76" s="44"/>
      <c r="C76" s="54"/>
      <c r="D76" s="45"/>
      <c r="E76" s="45"/>
      <c r="F76" s="45">
        <f t="shared" si="1"/>
        <v>0</v>
      </c>
      <c r="G76" s="46"/>
      <c r="H76" s="46"/>
      <c r="I76" s="46"/>
      <c r="J76" s="47"/>
      <c r="K76" s="47"/>
      <c r="L76" s="47"/>
      <c r="M76" s="47"/>
      <c r="N76" s="55"/>
    </row>
    <row r="77" spans="1:14" ht="15.75" x14ac:dyDescent="0.25">
      <c r="A77" s="44"/>
      <c r="B77" s="44"/>
      <c r="C77" s="54"/>
      <c r="D77" s="45"/>
      <c r="E77" s="45"/>
      <c r="F77" s="45">
        <f t="shared" si="1"/>
        <v>0</v>
      </c>
      <c r="G77" s="46"/>
      <c r="H77" s="46"/>
      <c r="I77" s="46"/>
      <c r="J77" s="47"/>
      <c r="K77" s="47"/>
      <c r="L77" s="47"/>
      <c r="M77" s="47"/>
      <c r="N77" s="55"/>
    </row>
    <row r="78" spans="1:14" ht="15.75" x14ac:dyDescent="0.25">
      <c r="A78" s="44"/>
      <c r="B78" s="44"/>
      <c r="C78" s="54"/>
      <c r="D78" s="45"/>
      <c r="E78" s="45"/>
      <c r="F78" s="45">
        <f t="shared" si="1"/>
        <v>0</v>
      </c>
      <c r="G78" s="46"/>
      <c r="H78" s="46"/>
      <c r="I78" s="46"/>
      <c r="J78" s="47"/>
      <c r="K78" s="47"/>
      <c r="L78" s="47"/>
      <c r="M78" s="47"/>
      <c r="N78" s="55"/>
    </row>
    <row r="79" spans="1:14" ht="15.75" x14ac:dyDescent="0.25">
      <c r="A79" s="44"/>
      <c r="B79" s="44"/>
      <c r="C79" s="54"/>
      <c r="D79" s="45"/>
      <c r="E79" s="45"/>
      <c r="F79" s="45">
        <f t="shared" si="1"/>
        <v>0</v>
      </c>
      <c r="G79" s="46"/>
      <c r="H79" s="46"/>
      <c r="I79" s="46"/>
      <c r="J79" s="47"/>
      <c r="K79" s="47"/>
      <c r="L79" s="47"/>
      <c r="M79" s="47"/>
      <c r="N79" s="55"/>
    </row>
    <row r="80" spans="1:14" ht="15.75" x14ac:dyDescent="0.25">
      <c r="A80" s="44"/>
      <c r="B80" s="44"/>
      <c r="C80" s="54"/>
      <c r="D80" s="45"/>
      <c r="E80" s="45"/>
      <c r="F80" s="45">
        <f t="shared" si="1"/>
        <v>0</v>
      </c>
      <c r="G80" s="46"/>
      <c r="H80" s="46"/>
      <c r="I80" s="46"/>
      <c r="J80" s="47"/>
      <c r="K80" s="47"/>
      <c r="L80" s="47"/>
      <c r="M80" s="47"/>
      <c r="N80" s="55"/>
    </row>
    <row r="81" spans="1:14" ht="15.75" x14ac:dyDescent="0.25">
      <c r="A81" s="44"/>
      <c r="B81" s="44"/>
      <c r="C81" s="54"/>
      <c r="D81" s="45"/>
      <c r="E81" s="45"/>
      <c r="F81" s="45">
        <f t="shared" si="1"/>
        <v>0</v>
      </c>
      <c r="G81" s="46"/>
      <c r="H81" s="46"/>
      <c r="I81" s="46"/>
      <c r="J81" s="47"/>
      <c r="K81" s="47"/>
      <c r="L81" s="47"/>
      <c r="M81" s="47"/>
      <c r="N81" s="55"/>
    </row>
    <row r="82" spans="1:14" ht="15.75" x14ac:dyDescent="0.25">
      <c r="A82" s="44"/>
      <c r="B82" s="44"/>
      <c r="C82" s="54"/>
      <c r="D82" s="45"/>
      <c r="E82" s="45"/>
      <c r="F82" s="45">
        <f t="shared" si="1"/>
        <v>0</v>
      </c>
      <c r="G82" s="46"/>
      <c r="H82" s="46"/>
      <c r="I82" s="46"/>
      <c r="J82" s="47"/>
      <c r="K82" s="47"/>
      <c r="L82" s="47"/>
      <c r="M82" s="47"/>
      <c r="N82" s="55"/>
    </row>
    <row r="83" spans="1:14" ht="15.75" x14ac:dyDescent="0.25">
      <c r="A83" s="44"/>
      <c r="B83" s="44"/>
      <c r="C83" s="54"/>
      <c r="D83" s="45"/>
      <c r="E83" s="45"/>
      <c r="F83" s="45">
        <f t="shared" si="1"/>
        <v>0</v>
      </c>
      <c r="G83" s="46"/>
      <c r="H83" s="46"/>
      <c r="I83" s="46"/>
      <c r="J83" s="47"/>
      <c r="K83" s="47"/>
      <c r="L83" s="47"/>
      <c r="M83" s="47"/>
      <c r="N83" s="55"/>
    </row>
    <row r="84" spans="1:14" ht="15.75" x14ac:dyDescent="0.25">
      <c r="A84" s="44"/>
      <c r="B84" s="44"/>
      <c r="C84" s="54"/>
      <c r="D84" s="45"/>
      <c r="E84" s="45"/>
      <c r="F84" s="45">
        <f t="shared" si="1"/>
        <v>0</v>
      </c>
      <c r="G84" s="46"/>
      <c r="H84" s="46"/>
      <c r="I84" s="46"/>
      <c r="J84" s="47"/>
      <c r="K84" s="47"/>
      <c r="L84" s="47"/>
      <c r="M84" s="47"/>
      <c r="N84" s="55"/>
    </row>
    <row r="85" spans="1:14" ht="15.75" x14ac:dyDescent="0.25">
      <c r="A85" s="44"/>
      <c r="B85" s="44"/>
      <c r="C85" s="54"/>
      <c r="D85" s="45"/>
      <c r="E85" s="45"/>
      <c r="F85" s="45">
        <f t="shared" si="1"/>
        <v>0</v>
      </c>
      <c r="G85" s="46"/>
      <c r="H85" s="46"/>
      <c r="I85" s="46"/>
      <c r="J85" s="47"/>
      <c r="K85" s="47"/>
      <c r="L85" s="47"/>
      <c r="M85" s="47"/>
      <c r="N85" s="55"/>
    </row>
    <row r="86" spans="1:14" ht="15.75" x14ac:dyDescent="0.25">
      <c r="A86" s="44"/>
      <c r="B86" s="44"/>
      <c r="C86" s="54"/>
      <c r="D86" s="45"/>
      <c r="E86" s="45"/>
      <c r="F86" s="45">
        <f t="shared" si="1"/>
        <v>0</v>
      </c>
      <c r="G86" s="46"/>
      <c r="H86" s="46"/>
      <c r="I86" s="46"/>
      <c r="J86" s="47"/>
      <c r="K86" s="47"/>
      <c r="L86" s="47"/>
      <c r="M86" s="47"/>
      <c r="N86" s="55"/>
    </row>
    <row r="87" spans="1:14" ht="15.75" x14ac:dyDescent="0.25">
      <c r="A87" s="44"/>
      <c r="B87" s="44"/>
      <c r="C87" s="54"/>
      <c r="D87" s="45"/>
      <c r="E87" s="45"/>
      <c r="F87" s="45">
        <f t="shared" si="1"/>
        <v>0</v>
      </c>
      <c r="G87" s="46"/>
      <c r="H87" s="46"/>
      <c r="I87" s="46"/>
      <c r="J87" s="47"/>
      <c r="K87" s="47"/>
      <c r="L87" s="47"/>
      <c r="M87" s="47"/>
      <c r="N87" s="55"/>
    </row>
    <row r="88" spans="1:14" ht="15.75" x14ac:dyDescent="0.25">
      <c r="A88" s="44"/>
      <c r="B88" s="44"/>
      <c r="C88" s="54"/>
      <c r="D88" s="45"/>
      <c r="E88" s="45"/>
      <c r="F88" s="45">
        <f t="shared" si="1"/>
        <v>0</v>
      </c>
      <c r="G88" s="46"/>
      <c r="H88" s="46"/>
      <c r="I88" s="46"/>
      <c r="J88" s="47"/>
      <c r="K88" s="47"/>
      <c r="L88" s="47"/>
      <c r="M88" s="47"/>
      <c r="N88" s="55"/>
    </row>
    <row r="89" spans="1:14" ht="15.75" x14ac:dyDescent="0.25">
      <c r="A89" s="44"/>
      <c r="B89" s="44"/>
      <c r="C89" s="54"/>
      <c r="D89" s="45"/>
      <c r="E89" s="45"/>
      <c r="F89" s="45">
        <f t="shared" si="1"/>
        <v>0</v>
      </c>
      <c r="G89" s="46"/>
      <c r="H89" s="46"/>
      <c r="I89" s="46"/>
      <c r="J89" s="47"/>
      <c r="K89" s="47"/>
      <c r="L89" s="47"/>
      <c r="M89" s="47"/>
      <c r="N89" s="55"/>
    </row>
    <row r="90" spans="1:14" ht="15.75" x14ac:dyDescent="0.25">
      <c r="A90" s="44"/>
      <c r="B90" s="44"/>
      <c r="C90" s="54"/>
      <c r="D90" s="45"/>
      <c r="E90" s="45"/>
      <c r="F90" s="45">
        <f t="shared" si="1"/>
        <v>0</v>
      </c>
      <c r="G90" s="46"/>
      <c r="H90" s="46"/>
      <c r="I90" s="46"/>
      <c r="J90" s="47"/>
      <c r="K90" s="47"/>
      <c r="L90" s="47"/>
      <c r="M90" s="47"/>
      <c r="N90" s="55"/>
    </row>
    <row r="91" spans="1:14" ht="15.75" x14ac:dyDescent="0.25">
      <c r="A91" s="44"/>
      <c r="B91" s="44"/>
      <c r="C91" s="54"/>
      <c r="D91" s="45"/>
      <c r="E91" s="45"/>
      <c r="F91" s="45">
        <f t="shared" si="1"/>
        <v>0</v>
      </c>
      <c r="G91" s="46"/>
      <c r="H91" s="46"/>
      <c r="I91" s="46"/>
      <c r="J91" s="47"/>
      <c r="K91" s="47"/>
      <c r="L91" s="47"/>
      <c r="M91" s="47"/>
      <c r="N91" s="55"/>
    </row>
    <row r="92" spans="1:14" ht="15.75" x14ac:dyDescent="0.25">
      <c r="A92" s="44"/>
      <c r="B92" s="44"/>
      <c r="C92" s="54"/>
      <c r="D92" s="45"/>
      <c r="E92" s="45"/>
      <c r="F92" s="45">
        <f t="shared" si="1"/>
        <v>0</v>
      </c>
      <c r="G92" s="46"/>
      <c r="H92" s="46"/>
      <c r="I92" s="46"/>
      <c r="J92" s="47"/>
      <c r="K92" s="47"/>
      <c r="L92" s="47"/>
      <c r="M92" s="47"/>
      <c r="N92" s="55"/>
    </row>
    <row r="93" spans="1:14" ht="15.75" x14ac:dyDescent="0.25">
      <c r="A93" s="44"/>
      <c r="B93" s="44"/>
      <c r="C93" s="54"/>
      <c r="D93" s="45"/>
      <c r="E93" s="45"/>
      <c r="F93" s="45">
        <f t="shared" si="1"/>
        <v>0</v>
      </c>
      <c r="G93" s="46"/>
      <c r="H93" s="46"/>
      <c r="I93" s="46"/>
      <c r="J93" s="47"/>
      <c r="K93" s="47"/>
      <c r="L93" s="47"/>
      <c r="M93" s="47"/>
      <c r="N93" s="55"/>
    </row>
    <row r="94" spans="1:14" ht="15.75" x14ac:dyDescent="0.25">
      <c r="A94" s="44"/>
      <c r="B94" s="44"/>
      <c r="C94" s="54"/>
      <c r="D94" s="45"/>
      <c r="E94" s="45"/>
      <c r="F94" s="45">
        <f t="shared" si="1"/>
        <v>0</v>
      </c>
      <c r="G94" s="46"/>
      <c r="H94" s="46"/>
      <c r="I94" s="46"/>
      <c r="J94" s="47"/>
      <c r="K94" s="47"/>
      <c r="L94" s="47"/>
      <c r="M94" s="47"/>
      <c r="N94" s="55"/>
    </row>
    <row r="95" spans="1:14" ht="15.75" x14ac:dyDescent="0.25">
      <c r="A95" s="44"/>
      <c r="B95" s="44"/>
      <c r="C95" s="54"/>
      <c r="D95" s="45"/>
      <c r="E95" s="45"/>
      <c r="F95" s="45">
        <f t="shared" si="1"/>
        <v>0</v>
      </c>
      <c r="G95" s="46"/>
      <c r="H95" s="46"/>
      <c r="I95" s="46"/>
      <c r="J95" s="47"/>
      <c r="K95" s="47"/>
      <c r="L95" s="47"/>
      <c r="M95" s="47"/>
      <c r="N95" s="55"/>
    </row>
    <row r="96" spans="1:14" ht="15.75" x14ac:dyDescent="0.25">
      <c r="A96" s="44"/>
      <c r="B96" s="44"/>
      <c r="C96" s="54"/>
      <c r="D96" s="45"/>
      <c r="E96" s="45"/>
      <c r="F96" s="45">
        <f t="shared" si="1"/>
        <v>0</v>
      </c>
      <c r="G96" s="46"/>
      <c r="H96" s="46"/>
      <c r="I96" s="46"/>
      <c r="J96" s="47"/>
      <c r="K96" s="47"/>
      <c r="L96" s="47"/>
      <c r="M96" s="47"/>
      <c r="N96" s="55"/>
    </row>
    <row r="97" spans="1:14" ht="15.75" x14ac:dyDescent="0.25">
      <c r="A97" s="44"/>
      <c r="B97" s="44"/>
      <c r="C97" s="54"/>
      <c r="D97" s="45"/>
      <c r="E97" s="45"/>
      <c r="F97" s="45">
        <f t="shared" si="1"/>
        <v>0</v>
      </c>
      <c r="G97" s="46"/>
      <c r="H97" s="46"/>
      <c r="I97" s="46"/>
      <c r="J97" s="47"/>
      <c r="K97" s="47"/>
      <c r="L97" s="47"/>
      <c r="M97" s="47"/>
      <c r="N97" s="55"/>
    </row>
    <row r="98" spans="1:14" ht="15.75" x14ac:dyDescent="0.25">
      <c r="A98" s="44"/>
      <c r="B98" s="44"/>
      <c r="C98" s="54"/>
      <c r="D98" s="45"/>
      <c r="E98" s="45"/>
      <c r="F98" s="45">
        <f t="shared" si="1"/>
        <v>0</v>
      </c>
      <c r="G98" s="46"/>
      <c r="H98" s="46"/>
      <c r="I98" s="46"/>
      <c r="J98" s="47"/>
      <c r="K98" s="47"/>
      <c r="L98" s="47"/>
      <c r="M98" s="47"/>
      <c r="N98" s="55"/>
    </row>
    <row r="99" spans="1:14" ht="15.75" x14ac:dyDescent="0.25">
      <c r="A99" s="44"/>
      <c r="B99" s="44"/>
      <c r="C99" s="54"/>
      <c r="D99" s="45"/>
      <c r="E99" s="45"/>
      <c r="F99" s="45">
        <f t="shared" si="1"/>
        <v>0</v>
      </c>
      <c r="G99" s="46"/>
      <c r="H99" s="46"/>
      <c r="I99" s="46"/>
      <c r="J99" s="47"/>
      <c r="K99" s="47"/>
      <c r="L99" s="47"/>
      <c r="M99" s="47"/>
      <c r="N99" s="55"/>
    </row>
    <row r="100" spans="1:14" ht="15.75" x14ac:dyDescent="0.25">
      <c r="A100" s="44"/>
      <c r="B100" s="44"/>
      <c r="C100" s="54"/>
      <c r="D100" s="45"/>
      <c r="E100" s="45"/>
      <c r="F100" s="45">
        <f t="shared" si="1"/>
        <v>0</v>
      </c>
      <c r="G100" s="46"/>
      <c r="H100" s="46"/>
      <c r="I100" s="46"/>
      <c r="J100" s="47"/>
      <c r="K100" s="47"/>
      <c r="L100" s="47"/>
      <c r="M100" s="47"/>
      <c r="N100" s="55"/>
    </row>
    <row r="101" spans="1:14" ht="15.75" x14ac:dyDescent="0.25">
      <c r="A101" s="44"/>
      <c r="B101" s="44"/>
      <c r="C101" s="54"/>
      <c r="D101" s="45"/>
      <c r="E101" s="45"/>
      <c r="F101" s="45">
        <f t="shared" si="1"/>
        <v>0</v>
      </c>
      <c r="G101" s="46"/>
      <c r="H101" s="46"/>
      <c r="I101" s="46"/>
      <c r="J101" s="47"/>
      <c r="K101" s="47"/>
      <c r="L101" s="47"/>
      <c r="M101" s="47"/>
      <c r="N101" s="55"/>
    </row>
    <row r="102" spans="1:14" ht="15.75" x14ac:dyDescent="0.25">
      <c r="A102" s="44"/>
      <c r="B102" s="44"/>
      <c r="C102" s="54"/>
      <c r="D102" s="45"/>
      <c r="E102" s="45"/>
      <c r="F102" s="45">
        <f t="shared" si="1"/>
        <v>0</v>
      </c>
      <c r="G102" s="46"/>
      <c r="H102" s="46"/>
      <c r="I102" s="46"/>
      <c r="J102" s="47"/>
      <c r="K102" s="47"/>
      <c r="L102" s="47"/>
      <c r="M102" s="47"/>
      <c r="N102" s="55"/>
    </row>
    <row r="103" spans="1:14" ht="15.75" x14ac:dyDescent="0.25">
      <c r="A103" s="44"/>
      <c r="B103" s="44"/>
      <c r="C103" s="54"/>
      <c r="D103" s="45"/>
      <c r="E103" s="45"/>
      <c r="F103" s="45">
        <f t="shared" si="1"/>
        <v>0</v>
      </c>
      <c r="G103" s="46"/>
      <c r="H103" s="46"/>
      <c r="I103" s="46"/>
      <c r="J103" s="47"/>
      <c r="K103" s="47"/>
      <c r="L103" s="47"/>
      <c r="M103" s="47"/>
      <c r="N103" s="55"/>
    </row>
    <row r="104" spans="1:14" ht="15.75" x14ac:dyDescent="0.25">
      <c r="A104" s="44"/>
      <c r="B104" s="44"/>
      <c r="C104" s="54"/>
      <c r="D104" s="45"/>
      <c r="E104" s="45"/>
      <c r="F104" s="45">
        <f t="shared" si="1"/>
        <v>0</v>
      </c>
      <c r="G104" s="46"/>
      <c r="H104" s="46"/>
      <c r="I104" s="46"/>
      <c r="J104" s="47"/>
      <c r="K104" s="47"/>
      <c r="L104" s="47"/>
      <c r="M104" s="47"/>
      <c r="N104" s="55"/>
    </row>
    <row r="105" spans="1:14" ht="15.75" x14ac:dyDescent="0.25">
      <c r="A105" s="44"/>
      <c r="B105" s="44"/>
      <c r="C105" s="54"/>
      <c r="D105" s="45"/>
      <c r="E105" s="45"/>
      <c r="F105" s="45">
        <f t="shared" si="1"/>
        <v>0</v>
      </c>
      <c r="G105" s="46"/>
      <c r="H105" s="46"/>
      <c r="I105" s="46"/>
      <c r="J105" s="47"/>
      <c r="K105" s="47"/>
      <c r="L105" s="47"/>
      <c r="M105" s="47"/>
      <c r="N105" s="55"/>
    </row>
    <row r="106" spans="1:14" ht="15.75" x14ac:dyDescent="0.25">
      <c r="A106" s="44"/>
      <c r="B106" s="44"/>
      <c r="C106" s="54"/>
      <c r="D106" s="45"/>
      <c r="E106" s="45"/>
      <c r="F106" s="45">
        <f t="shared" si="1"/>
        <v>0</v>
      </c>
      <c r="G106" s="46"/>
      <c r="H106" s="46"/>
      <c r="I106" s="46"/>
      <c r="J106" s="47"/>
      <c r="K106" s="47"/>
      <c r="L106" s="47"/>
      <c r="M106" s="47"/>
      <c r="N106" s="55"/>
    </row>
    <row r="107" spans="1:14" ht="15.75" x14ac:dyDescent="0.25">
      <c r="A107" s="44"/>
      <c r="B107" s="44"/>
      <c r="C107" s="54"/>
      <c r="D107" s="45"/>
      <c r="E107" s="45"/>
      <c r="F107" s="45">
        <f t="shared" si="1"/>
        <v>0</v>
      </c>
      <c r="G107" s="46"/>
      <c r="H107" s="46"/>
      <c r="I107" s="46"/>
      <c r="J107" s="47"/>
      <c r="K107" s="47"/>
      <c r="L107" s="47"/>
      <c r="M107" s="47"/>
      <c r="N107" s="55"/>
    </row>
    <row r="108" spans="1:14" ht="15.75" x14ac:dyDescent="0.25">
      <c r="A108" s="44"/>
      <c r="B108" s="44"/>
      <c r="C108" s="54"/>
      <c r="D108" s="45"/>
      <c r="E108" s="45"/>
      <c r="F108" s="45">
        <f t="shared" si="1"/>
        <v>0</v>
      </c>
      <c r="G108" s="46"/>
      <c r="H108" s="46"/>
      <c r="I108" s="46"/>
      <c r="J108" s="47"/>
      <c r="K108" s="47"/>
      <c r="L108" s="47"/>
      <c r="M108" s="47"/>
      <c r="N108" s="55"/>
    </row>
    <row r="109" spans="1:14" ht="15.75" x14ac:dyDescent="0.25">
      <c r="A109" s="44"/>
      <c r="B109" s="44"/>
      <c r="C109" s="54"/>
      <c r="D109" s="45"/>
      <c r="E109" s="45"/>
      <c r="F109" s="45">
        <f t="shared" si="1"/>
        <v>0</v>
      </c>
      <c r="G109" s="46"/>
      <c r="H109" s="46"/>
      <c r="I109" s="46"/>
      <c r="J109" s="47"/>
      <c r="K109" s="47"/>
      <c r="L109" s="47"/>
      <c r="M109" s="47"/>
      <c r="N109" s="55"/>
    </row>
    <row r="110" spans="1:14" ht="15.75" x14ac:dyDescent="0.25">
      <c r="A110" s="44"/>
      <c r="B110" s="44"/>
      <c r="C110" s="54"/>
      <c r="D110" s="45"/>
      <c r="E110" s="45"/>
      <c r="F110" s="45">
        <f t="shared" si="1"/>
        <v>0</v>
      </c>
      <c r="G110" s="46"/>
      <c r="H110" s="46"/>
      <c r="I110" s="46"/>
      <c r="J110" s="47"/>
      <c r="K110" s="47"/>
      <c r="L110" s="47"/>
      <c r="M110" s="47"/>
      <c r="N110" s="55"/>
    </row>
    <row r="111" spans="1:14" ht="15.75" x14ac:dyDescent="0.25">
      <c r="A111" s="44"/>
      <c r="B111" s="44"/>
      <c r="C111" s="54"/>
      <c r="D111" s="45"/>
      <c r="E111" s="45"/>
      <c r="F111" s="45">
        <f t="shared" si="1"/>
        <v>0</v>
      </c>
      <c r="G111" s="46"/>
      <c r="H111" s="46"/>
      <c r="I111" s="46"/>
      <c r="J111" s="47"/>
      <c r="K111" s="47"/>
      <c r="L111" s="47"/>
      <c r="M111" s="47"/>
      <c r="N111" s="55"/>
    </row>
    <row r="112" spans="1:14" ht="15.75" x14ac:dyDescent="0.25">
      <c r="A112" s="44"/>
      <c r="B112" s="44"/>
      <c r="C112" s="54"/>
      <c r="D112" s="45"/>
      <c r="E112" s="45"/>
      <c r="F112" s="45">
        <f t="shared" si="1"/>
        <v>0</v>
      </c>
      <c r="G112" s="46"/>
      <c r="H112" s="46"/>
      <c r="I112" s="46"/>
      <c r="J112" s="47"/>
      <c r="K112" s="47"/>
      <c r="L112" s="47"/>
      <c r="M112" s="47"/>
      <c r="N112" s="55"/>
    </row>
    <row r="113" spans="1:14" ht="15.75" x14ac:dyDescent="0.25">
      <c r="A113" s="44"/>
      <c r="B113" s="44"/>
      <c r="C113" s="54"/>
      <c r="D113" s="45"/>
      <c r="E113" s="45"/>
      <c r="F113" s="45">
        <f t="shared" si="1"/>
        <v>0</v>
      </c>
      <c r="G113" s="46"/>
      <c r="H113" s="46"/>
      <c r="I113" s="46"/>
      <c r="J113" s="47"/>
      <c r="K113" s="47"/>
      <c r="L113" s="47"/>
      <c r="M113" s="47"/>
      <c r="N113" s="55"/>
    </row>
    <row r="114" spans="1:14" ht="15.75" x14ac:dyDescent="0.25">
      <c r="A114" s="44"/>
      <c r="B114" s="44"/>
      <c r="C114" s="54"/>
      <c r="D114" s="45"/>
      <c r="E114" s="45"/>
      <c r="F114" s="45">
        <f t="shared" si="1"/>
        <v>0</v>
      </c>
      <c r="G114" s="46"/>
      <c r="H114" s="46"/>
      <c r="I114" s="46"/>
      <c r="J114" s="47"/>
      <c r="K114" s="47"/>
      <c r="L114" s="47"/>
      <c r="M114" s="47"/>
      <c r="N114" s="55"/>
    </row>
    <row r="115" spans="1:14" ht="15.75" x14ac:dyDescent="0.25">
      <c r="A115" s="44"/>
      <c r="B115" s="44"/>
      <c r="C115" s="54"/>
      <c r="D115" s="45"/>
      <c r="E115" s="45"/>
      <c r="F115" s="45">
        <f t="shared" si="1"/>
        <v>0</v>
      </c>
      <c r="G115" s="46"/>
      <c r="H115" s="46"/>
      <c r="I115" s="46"/>
      <c r="J115" s="47"/>
      <c r="K115" s="47"/>
      <c r="L115" s="47"/>
      <c r="M115" s="47"/>
      <c r="N115" s="55"/>
    </row>
    <row r="116" spans="1:14" ht="15.75" x14ac:dyDescent="0.25">
      <c r="A116" s="44"/>
      <c r="B116" s="44"/>
      <c r="C116" s="54"/>
      <c r="D116" s="45"/>
      <c r="E116" s="45"/>
      <c r="F116" s="45">
        <f t="shared" si="1"/>
        <v>0</v>
      </c>
      <c r="G116" s="46"/>
      <c r="H116" s="46"/>
      <c r="I116" s="46"/>
      <c r="J116" s="47"/>
      <c r="K116" s="47"/>
      <c r="L116" s="47"/>
      <c r="M116" s="47"/>
      <c r="N116" s="55"/>
    </row>
    <row r="117" spans="1:14" ht="15.75" x14ac:dyDescent="0.25">
      <c r="A117" s="44"/>
      <c r="B117" s="44"/>
      <c r="C117" s="54"/>
      <c r="D117" s="45"/>
      <c r="E117" s="45"/>
      <c r="F117" s="45">
        <f t="shared" si="1"/>
        <v>0</v>
      </c>
      <c r="G117" s="46"/>
      <c r="H117" s="46"/>
      <c r="I117" s="46"/>
      <c r="J117" s="47"/>
      <c r="K117" s="47"/>
      <c r="L117" s="47"/>
      <c r="M117" s="47"/>
      <c r="N117" s="55"/>
    </row>
    <row r="118" spans="1:14" ht="15.75" x14ac:dyDescent="0.25">
      <c r="A118" s="44"/>
      <c r="B118" s="44"/>
      <c r="C118" s="54"/>
      <c r="D118" s="45"/>
      <c r="E118" s="45"/>
      <c r="F118" s="45">
        <f t="shared" si="1"/>
        <v>0</v>
      </c>
      <c r="G118" s="46"/>
      <c r="H118" s="46"/>
      <c r="I118" s="46"/>
      <c r="J118" s="47"/>
      <c r="K118" s="47"/>
      <c r="L118" s="47"/>
      <c r="M118" s="47"/>
      <c r="N118" s="55"/>
    </row>
    <row r="119" spans="1:14" ht="15.75" x14ac:dyDescent="0.25">
      <c r="A119" s="44"/>
      <c r="B119" s="44"/>
      <c r="C119" s="54"/>
      <c r="D119" s="45"/>
      <c r="E119" s="45"/>
      <c r="F119" s="45">
        <f t="shared" si="1"/>
        <v>0</v>
      </c>
      <c r="G119" s="46"/>
      <c r="H119" s="46"/>
      <c r="I119" s="46"/>
      <c r="J119" s="47"/>
      <c r="K119" s="47"/>
      <c r="L119" s="47"/>
      <c r="M119" s="47"/>
      <c r="N119" s="55"/>
    </row>
    <row r="120" spans="1:14" ht="15.75" x14ac:dyDescent="0.25">
      <c r="A120" s="44"/>
      <c r="B120" s="44"/>
      <c r="C120" s="54"/>
      <c r="D120" s="45"/>
      <c r="E120" s="45"/>
      <c r="F120" s="45">
        <f t="shared" si="1"/>
        <v>0</v>
      </c>
      <c r="G120" s="46"/>
      <c r="H120" s="46"/>
      <c r="I120" s="46"/>
      <c r="J120" s="47"/>
      <c r="K120" s="47"/>
      <c r="L120" s="47"/>
      <c r="M120" s="47"/>
      <c r="N120" s="55"/>
    </row>
    <row r="121" spans="1:14" ht="15.75" x14ac:dyDescent="0.25">
      <c r="A121" s="44"/>
      <c r="B121" s="44"/>
      <c r="C121" s="54"/>
      <c r="D121" s="45"/>
      <c r="E121" s="45"/>
      <c r="F121" s="45">
        <f t="shared" si="1"/>
        <v>0</v>
      </c>
      <c r="G121" s="46"/>
      <c r="H121" s="46"/>
      <c r="I121" s="46"/>
      <c r="J121" s="47"/>
      <c r="K121" s="47"/>
      <c r="L121" s="47"/>
      <c r="M121" s="47"/>
      <c r="N121" s="55"/>
    </row>
    <row r="122" spans="1:14" ht="15.75" x14ac:dyDescent="0.25">
      <c r="A122" s="44"/>
      <c r="B122" s="44"/>
      <c r="C122" s="54"/>
      <c r="D122" s="45"/>
      <c r="E122" s="45"/>
      <c r="F122" s="45">
        <f t="shared" si="1"/>
        <v>0</v>
      </c>
      <c r="G122" s="46"/>
      <c r="H122" s="46"/>
      <c r="I122" s="46"/>
      <c r="J122" s="47"/>
      <c r="K122" s="47"/>
      <c r="L122" s="47"/>
      <c r="M122" s="47"/>
      <c r="N122" s="55"/>
    </row>
    <row r="123" spans="1:14" ht="15.75" x14ac:dyDescent="0.25">
      <c r="A123" s="44"/>
      <c r="B123" s="44"/>
      <c r="C123" s="54"/>
      <c r="D123" s="45"/>
      <c r="E123" s="45"/>
      <c r="F123" s="45">
        <f t="shared" si="1"/>
        <v>0</v>
      </c>
      <c r="G123" s="46"/>
      <c r="H123" s="46"/>
      <c r="I123" s="46"/>
      <c r="J123" s="47"/>
      <c r="K123" s="47"/>
      <c r="L123" s="47"/>
      <c r="M123" s="47"/>
      <c r="N123" s="55"/>
    </row>
    <row r="124" spans="1:14" ht="15.75" x14ac:dyDescent="0.25">
      <c r="A124" s="44"/>
      <c r="B124" s="44"/>
      <c r="C124" s="54"/>
      <c r="D124" s="45"/>
      <c r="E124" s="45"/>
      <c r="F124" s="45">
        <f t="shared" si="1"/>
        <v>0</v>
      </c>
      <c r="G124" s="46"/>
      <c r="H124" s="46"/>
      <c r="I124" s="46"/>
      <c r="J124" s="47"/>
      <c r="K124" s="47"/>
      <c r="L124" s="47"/>
      <c r="M124" s="47"/>
      <c r="N124" s="55"/>
    </row>
    <row r="125" spans="1:14" ht="15.75" x14ac:dyDescent="0.25">
      <c r="A125" s="44"/>
      <c r="B125" s="44"/>
      <c r="C125" s="54"/>
      <c r="D125" s="45"/>
      <c r="E125" s="45"/>
      <c r="F125" s="45">
        <f t="shared" si="1"/>
        <v>0</v>
      </c>
      <c r="G125" s="46"/>
      <c r="H125" s="46"/>
      <c r="I125" s="46"/>
      <c r="J125" s="47"/>
      <c r="K125" s="47"/>
      <c r="L125" s="47"/>
      <c r="M125" s="47"/>
      <c r="N125" s="55"/>
    </row>
    <row r="126" spans="1:14" ht="15.75" x14ac:dyDescent="0.25">
      <c r="A126" s="44"/>
      <c r="B126" s="44"/>
      <c r="C126" s="54"/>
      <c r="D126" s="45"/>
      <c r="E126" s="45"/>
      <c r="F126" s="45">
        <f t="shared" si="1"/>
        <v>0</v>
      </c>
      <c r="G126" s="46"/>
      <c r="H126" s="46"/>
      <c r="I126" s="46"/>
      <c r="J126" s="47"/>
      <c r="K126" s="47"/>
      <c r="L126" s="47"/>
      <c r="M126" s="47"/>
      <c r="N126" s="55"/>
    </row>
    <row r="127" spans="1:14" ht="15.75" x14ac:dyDescent="0.25">
      <c r="A127" s="44"/>
      <c r="B127" s="44"/>
      <c r="C127" s="54"/>
      <c r="D127" s="45"/>
      <c r="E127" s="45"/>
      <c r="F127" s="45">
        <f t="shared" si="1"/>
        <v>0</v>
      </c>
      <c r="G127" s="46"/>
      <c r="H127" s="46"/>
      <c r="I127" s="46"/>
      <c r="J127" s="47"/>
      <c r="K127" s="47"/>
      <c r="L127" s="47"/>
      <c r="M127" s="47"/>
      <c r="N127" s="55"/>
    </row>
    <row r="128" spans="1:14" ht="15.75" x14ac:dyDescent="0.25">
      <c r="A128" s="44"/>
      <c r="B128" s="44"/>
      <c r="C128" s="54"/>
      <c r="D128" s="45"/>
      <c r="E128" s="45"/>
      <c r="F128" s="45">
        <f t="shared" si="1"/>
        <v>0</v>
      </c>
      <c r="G128" s="46"/>
      <c r="H128" s="46"/>
      <c r="I128" s="46"/>
      <c r="J128" s="47"/>
      <c r="K128" s="47"/>
      <c r="L128" s="47"/>
      <c r="M128" s="47"/>
      <c r="N128" s="55"/>
    </row>
    <row r="129" spans="1:14" ht="15.75" x14ac:dyDescent="0.25">
      <c r="A129" s="44"/>
      <c r="B129" s="44"/>
      <c r="C129" s="54"/>
      <c r="D129" s="45"/>
      <c r="E129" s="45"/>
      <c r="F129" s="45">
        <f t="shared" si="1"/>
        <v>0</v>
      </c>
      <c r="G129" s="46"/>
      <c r="H129" s="46"/>
      <c r="I129" s="46"/>
      <c r="J129" s="47"/>
      <c r="K129" s="47"/>
      <c r="L129" s="47"/>
      <c r="M129" s="47"/>
      <c r="N129" s="55"/>
    </row>
    <row r="130" spans="1:14" ht="15.75" x14ac:dyDescent="0.25">
      <c r="A130" s="44"/>
      <c r="B130" s="44"/>
      <c r="C130" s="54"/>
      <c r="D130" s="45"/>
      <c r="E130" s="45"/>
      <c r="F130" s="45">
        <f t="shared" si="1"/>
        <v>0</v>
      </c>
      <c r="G130" s="46"/>
      <c r="H130" s="46"/>
      <c r="I130" s="46"/>
      <c r="J130" s="47"/>
      <c r="K130" s="47"/>
      <c r="L130" s="47"/>
      <c r="M130" s="47"/>
      <c r="N130" s="55"/>
    </row>
    <row r="131" spans="1:14" ht="15.75" x14ac:dyDescent="0.25">
      <c r="A131" s="44"/>
      <c r="B131" s="44"/>
      <c r="C131" s="54"/>
      <c r="D131" s="45"/>
      <c r="E131" s="45"/>
      <c r="F131" s="45">
        <f t="shared" si="1"/>
        <v>0</v>
      </c>
      <c r="G131" s="46"/>
      <c r="H131" s="46"/>
      <c r="I131" s="46"/>
      <c r="J131" s="47"/>
      <c r="K131" s="47"/>
      <c r="L131" s="47"/>
      <c r="M131" s="47"/>
      <c r="N131" s="55"/>
    </row>
    <row r="132" spans="1:14" ht="15.75" x14ac:dyDescent="0.25">
      <c r="A132" s="44"/>
      <c r="B132" s="44"/>
      <c r="C132" s="54"/>
      <c r="D132" s="45"/>
      <c r="E132" s="45"/>
      <c r="F132" s="45">
        <f t="shared" si="1"/>
        <v>0</v>
      </c>
      <c r="G132" s="46"/>
      <c r="H132" s="46"/>
      <c r="I132" s="46"/>
      <c r="J132" s="47"/>
      <c r="K132" s="47"/>
      <c r="L132" s="47"/>
      <c r="M132" s="47"/>
      <c r="N132" s="55"/>
    </row>
    <row r="133" spans="1:14" ht="15.75" x14ac:dyDescent="0.25">
      <c r="A133" s="44"/>
      <c r="B133" s="44"/>
      <c r="C133" s="54"/>
      <c r="D133" s="45"/>
      <c r="E133" s="45"/>
      <c r="F133" s="45">
        <f t="shared" si="1"/>
        <v>0</v>
      </c>
      <c r="G133" s="46"/>
      <c r="H133" s="46"/>
      <c r="I133" s="46"/>
      <c r="J133" s="47"/>
      <c r="K133" s="47"/>
      <c r="L133" s="47"/>
      <c r="M133" s="47"/>
      <c r="N133" s="55"/>
    </row>
    <row r="134" spans="1:14" ht="15.75" x14ac:dyDescent="0.25">
      <c r="A134" s="44"/>
      <c r="B134" s="44"/>
      <c r="C134" s="54"/>
      <c r="D134" s="45"/>
      <c r="E134" s="45"/>
      <c r="F134" s="45">
        <f t="shared" si="1"/>
        <v>0</v>
      </c>
      <c r="G134" s="46"/>
      <c r="H134" s="46"/>
      <c r="I134" s="46"/>
      <c r="J134" s="47"/>
      <c r="K134" s="47"/>
      <c r="L134" s="47"/>
      <c r="M134" s="47"/>
      <c r="N134" s="55"/>
    </row>
    <row r="135" spans="1:14" ht="15.75" x14ac:dyDescent="0.25">
      <c r="A135" s="44"/>
      <c r="B135" s="44"/>
      <c r="C135" s="54"/>
      <c r="D135" s="45"/>
      <c r="E135" s="45"/>
      <c r="F135" s="45">
        <f t="shared" ref="F135:F198" si="2">D135*E135</f>
        <v>0</v>
      </c>
      <c r="G135" s="46"/>
      <c r="H135" s="46"/>
      <c r="I135" s="46"/>
      <c r="J135" s="47"/>
      <c r="K135" s="47"/>
      <c r="L135" s="47"/>
      <c r="M135" s="47"/>
      <c r="N135" s="55"/>
    </row>
    <row r="136" spans="1:14" ht="15.75" x14ac:dyDescent="0.25">
      <c r="A136" s="44"/>
      <c r="B136" s="44"/>
      <c r="C136" s="54"/>
      <c r="D136" s="45"/>
      <c r="E136" s="45"/>
      <c r="F136" s="45">
        <f t="shared" si="2"/>
        <v>0</v>
      </c>
      <c r="G136" s="46"/>
      <c r="H136" s="46"/>
      <c r="I136" s="46"/>
      <c r="J136" s="47"/>
      <c r="K136" s="47"/>
      <c r="L136" s="47"/>
      <c r="M136" s="47"/>
      <c r="N136" s="55"/>
    </row>
    <row r="137" spans="1:14" ht="15.75" x14ac:dyDescent="0.25">
      <c r="A137" s="44"/>
      <c r="B137" s="44"/>
      <c r="C137" s="54"/>
      <c r="D137" s="45"/>
      <c r="E137" s="45"/>
      <c r="F137" s="45">
        <f t="shared" si="2"/>
        <v>0</v>
      </c>
      <c r="G137" s="46"/>
      <c r="H137" s="46"/>
      <c r="I137" s="46"/>
      <c r="J137" s="47"/>
      <c r="K137" s="47"/>
      <c r="L137" s="47"/>
      <c r="M137" s="47"/>
      <c r="N137" s="55"/>
    </row>
    <row r="138" spans="1:14" ht="15.75" x14ac:dyDescent="0.25">
      <c r="A138" s="44"/>
      <c r="B138" s="44"/>
      <c r="C138" s="54"/>
      <c r="D138" s="45"/>
      <c r="E138" s="45"/>
      <c r="F138" s="45">
        <f t="shared" si="2"/>
        <v>0</v>
      </c>
      <c r="G138" s="46"/>
      <c r="H138" s="46"/>
      <c r="I138" s="46"/>
      <c r="J138" s="47"/>
      <c r="K138" s="47"/>
      <c r="L138" s="47"/>
      <c r="M138" s="47"/>
      <c r="N138" s="55"/>
    </row>
    <row r="139" spans="1:14" ht="15.75" x14ac:dyDescent="0.25">
      <c r="A139" s="44"/>
      <c r="B139" s="44"/>
      <c r="C139" s="54"/>
      <c r="D139" s="45"/>
      <c r="E139" s="45"/>
      <c r="F139" s="45">
        <f t="shared" si="2"/>
        <v>0</v>
      </c>
      <c r="G139" s="46"/>
      <c r="H139" s="46"/>
      <c r="I139" s="46"/>
      <c r="J139" s="47"/>
      <c r="K139" s="47"/>
      <c r="L139" s="47"/>
      <c r="M139" s="47"/>
      <c r="N139" s="55"/>
    </row>
    <row r="140" spans="1:14" ht="15.75" x14ac:dyDescent="0.25">
      <c r="A140" s="44"/>
      <c r="B140" s="44"/>
      <c r="C140" s="54"/>
      <c r="D140" s="45"/>
      <c r="E140" s="45"/>
      <c r="F140" s="45">
        <f t="shared" si="2"/>
        <v>0</v>
      </c>
      <c r="G140" s="46"/>
      <c r="H140" s="46"/>
      <c r="I140" s="46"/>
      <c r="J140" s="47"/>
      <c r="K140" s="47"/>
      <c r="L140" s="47"/>
      <c r="M140" s="47"/>
      <c r="N140" s="55"/>
    </row>
    <row r="141" spans="1:14" ht="15.75" x14ac:dyDescent="0.25">
      <c r="A141" s="44"/>
      <c r="B141" s="44"/>
      <c r="C141" s="54"/>
      <c r="D141" s="45"/>
      <c r="E141" s="45"/>
      <c r="F141" s="45">
        <f t="shared" si="2"/>
        <v>0</v>
      </c>
      <c r="G141" s="46"/>
      <c r="H141" s="46"/>
      <c r="I141" s="46"/>
      <c r="J141" s="47"/>
      <c r="K141" s="47"/>
      <c r="L141" s="47"/>
      <c r="M141" s="47"/>
      <c r="N141" s="55"/>
    </row>
    <row r="142" spans="1:14" ht="15.75" x14ac:dyDescent="0.25">
      <c r="A142" s="44"/>
      <c r="B142" s="44"/>
      <c r="C142" s="54"/>
      <c r="D142" s="45"/>
      <c r="E142" s="45"/>
      <c r="F142" s="45">
        <f t="shared" si="2"/>
        <v>0</v>
      </c>
      <c r="G142" s="46"/>
      <c r="H142" s="46"/>
      <c r="I142" s="46"/>
      <c r="J142" s="47"/>
      <c r="K142" s="47"/>
      <c r="L142" s="47"/>
      <c r="M142" s="47"/>
      <c r="N142" s="55"/>
    </row>
    <row r="143" spans="1:14" ht="15.75" x14ac:dyDescent="0.25">
      <c r="A143" s="44"/>
      <c r="B143" s="44"/>
      <c r="C143" s="54"/>
      <c r="D143" s="45"/>
      <c r="E143" s="45"/>
      <c r="F143" s="45">
        <f t="shared" si="2"/>
        <v>0</v>
      </c>
      <c r="G143" s="46"/>
      <c r="H143" s="46"/>
      <c r="I143" s="46"/>
      <c r="J143" s="47"/>
      <c r="K143" s="47"/>
      <c r="L143" s="47"/>
      <c r="M143" s="47"/>
      <c r="N143" s="55"/>
    </row>
    <row r="144" spans="1:14" ht="15.75" x14ac:dyDescent="0.25">
      <c r="A144" s="44"/>
      <c r="B144" s="44"/>
      <c r="C144" s="54"/>
      <c r="D144" s="45"/>
      <c r="E144" s="45"/>
      <c r="F144" s="45">
        <f t="shared" si="2"/>
        <v>0</v>
      </c>
      <c r="G144" s="46"/>
      <c r="H144" s="46"/>
      <c r="I144" s="46"/>
      <c r="J144" s="47"/>
      <c r="K144" s="47"/>
      <c r="L144" s="47"/>
      <c r="M144" s="47"/>
      <c r="N144" s="55"/>
    </row>
    <row r="145" spans="1:14" ht="15.75" x14ac:dyDescent="0.25">
      <c r="A145" s="44"/>
      <c r="B145" s="44"/>
      <c r="C145" s="54"/>
      <c r="D145" s="45"/>
      <c r="E145" s="45"/>
      <c r="F145" s="45">
        <f t="shared" si="2"/>
        <v>0</v>
      </c>
      <c r="G145" s="46"/>
      <c r="H145" s="46"/>
      <c r="I145" s="46"/>
      <c r="J145" s="47"/>
      <c r="K145" s="47"/>
      <c r="L145" s="47"/>
      <c r="M145" s="47"/>
      <c r="N145" s="55"/>
    </row>
    <row r="146" spans="1:14" ht="15.75" x14ac:dyDescent="0.25">
      <c r="A146" s="44"/>
      <c r="B146" s="44"/>
      <c r="C146" s="54"/>
      <c r="D146" s="45"/>
      <c r="E146" s="45"/>
      <c r="F146" s="45">
        <f t="shared" si="2"/>
        <v>0</v>
      </c>
      <c r="G146" s="46"/>
      <c r="H146" s="46"/>
      <c r="I146" s="46"/>
      <c r="J146" s="47"/>
      <c r="K146" s="47"/>
      <c r="L146" s="47"/>
      <c r="M146" s="47"/>
      <c r="N146" s="55"/>
    </row>
    <row r="147" spans="1:14" ht="15.75" x14ac:dyDescent="0.25">
      <c r="A147" s="44"/>
      <c r="B147" s="44"/>
      <c r="C147" s="54"/>
      <c r="D147" s="45"/>
      <c r="E147" s="45"/>
      <c r="F147" s="45">
        <f t="shared" si="2"/>
        <v>0</v>
      </c>
      <c r="G147" s="46"/>
      <c r="H147" s="46"/>
      <c r="I147" s="46"/>
      <c r="J147" s="47"/>
      <c r="K147" s="47"/>
      <c r="L147" s="47"/>
      <c r="M147" s="47"/>
      <c r="N147" s="55"/>
    </row>
    <row r="148" spans="1:14" ht="15.75" x14ac:dyDescent="0.25">
      <c r="A148" s="44"/>
      <c r="B148" s="44"/>
      <c r="C148" s="54"/>
      <c r="D148" s="45"/>
      <c r="E148" s="45"/>
      <c r="F148" s="45">
        <f t="shared" si="2"/>
        <v>0</v>
      </c>
      <c r="G148" s="46"/>
      <c r="H148" s="46"/>
      <c r="I148" s="46"/>
      <c r="J148" s="47"/>
      <c r="K148" s="47"/>
      <c r="L148" s="47"/>
      <c r="M148" s="47"/>
      <c r="N148" s="55"/>
    </row>
    <row r="149" spans="1:14" ht="15.75" x14ac:dyDescent="0.25">
      <c r="A149" s="44"/>
      <c r="B149" s="44"/>
      <c r="C149" s="54"/>
      <c r="D149" s="45"/>
      <c r="E149" s="45"/>
      <c r="F149" s="45">
        <f t="shared" si="2"/>
        <v>0</v>
      </c>
      <c r="G149" s="46"/>
      <c r="H149" s="46"/>
      <c r="I149" s="46"/>
      <c r="J149" s="47"/>
      <c r="K149" s="47"/>
      <c r="L149" s="47"/>
      <c r="M149" s="47"/>
      <c r="N149" s="55"/>
    </row>
    <row r="150" spans="1:14" ht="15.75" x14ac:dyDescent="0.25">
      <c r="A150" s="44"/>
      <c r="B150" s="44"/>
      <c r="C150" s="54"/>
      <c r="D150" s="45"/>
      <c r="E150" s="45"/>
      <c r="F150" s="45">
        <f t="shared" si="2"/>
        <v>0</v>
      </c>
      <c r="G150" s="46"/>
      <c r="H150" s="46"/>
      <c r="I150" s="46"/>
      <c r="J150" s="47"/>
      <c r="K150" s="47"/>
      <c r="L150" s="47"/>
      <c r="M150" s="47"/>
      <c r="N150" s="55"/>
    </row>
    <row r="151" spans="1:14" ht="15.75" x14ac:dyDescent="0.25">
      <c r="A151" s="44"/>
      <c r="B151" s="44"/>
      <c r="C151" s="54"/>
      <c r="D151" s="45"/>
      <c r="E151" s="45"/>
      <c r="F151" s="45">
        <f t="shared" si="2"/>
        <v>0</v>
      </c>
      <c r="G151" s="46"/>
      <c r="H151" s="46"/>
      <c r="I151" s="46"/>
      <c r="J151" s="47"/>
      <c r="K151" s="47"/>
      <c r="L151" s="47"/>
      <c r="M151" s="47"/>
      <c r="N151" s="55"/>
    </row>
    <row r="152" spans="1:14" ht="15.75" x14ac:dyDescent="0.25">
      <c r="A152" s="44"/>
      <c r="B152" s="44"/>
      <c r="C152" s="54"/>
      <c r="D152" s="45"/>
      <c r="E152" s="45"/>
      <c r="F152" s="45">
        <f t="shared" si="2"/>
        <v>0</v>
      </c>
      <c r="G152" s="46"/>
      <c r="H152" s="46"/>
      <c r="I152" s="46"/>
      <c r="J152" s="47"/>
      <c r="K152" s="47"/>
      <c r="L152" s="47"/>
      <c r="M152" s="47"/>
      <c r="N152" s="55"/>
    </row>
    <row r="153" spans="1:14" ht="15.75" x14ac:dyDescent="0.25">
      <c r="A153" s="44"/>
      <c r="B153" s="44"/>
      <c r="C153" s="54"/>
      <c r="D153" s="45"/>
      <c r="E153" s="45"/>
      <c r="F153" s="45">
        <f t="shared" si="2"/>
        <v>0</v>
      </c>
      <c r="G153" s="46"/>
      <c r="H153" s="46"/>
      <c r="I153" s="46"/>
      <c r="J153" s="47"/>
      <c r="K153" s="47"/>
      <c r="L153" s="47"/>
      <c r="M153" s="47"/>
      <c r="N153" s="55"/>
    </row>
    <row r="154" spans="1:14" ht="15.75" x14ac:dyDescent="0.25">
      <c r="A154" s="44"/>
      <c r="B154" s="44"/>
      <c r="C154" s="54"/>
      <c r="D154" s="45"/>
      <c r="E154" s="45"/>
      <c r="F154" s="45">
        <f t="shared" si="2"/>
        <v>0</v>
      </c>
      <c r="G154" s="46"/>
      <c r="H154" s="46"/>
      <c r="I154" s="46"/>
      <c r="J154" s="47"/>
      <c r="K154" s="47"/>
      <c r="L154" s="47"/>
      <c r="M154" s="47"/>
      <c r="N154" s="55"/>
    </row>
    <row r="155" spans="1:14" ht="15.75" x14ac:dyDescent="0.25">
      <c r="A155" s="44"/>
      <c r="B155" s="44"/>
      <c r="C155" s="54"/>
      <c r="D155" s="45"/>
      <c r="E155" s="45"/>
      <c r="F155" s="45">
        <f t="shared" si="2"/>
        <v>0</v>
      </c>
      <c r="G155" s="46"/>
      <c r="H155" s="46"/>
      <c r="I155" s="46"/>
      <c r="J155" s="47"/>
      <c r="K155" s="47"/>
      <c r="L155" s="47"/>
      <c r="M155" s="47"/>
      <c r="N155" s="55"/>
    </row>
    <row r="156" spans="1:14" ht="15.75" x14ac:dyDescent="0.25">
      <c r="A156" s="44"/>
      <c r="B156" s="44"/>
      <c r="C156" s="54"/>
      <c r="D156" s="45"/>
      <c r="E156" s="45"/>
      <c r="F156" s="45">
        <f t="shared" si="2"/>
        <v>0</v>
      </c>
      <c r="G156" s="46"/>
      <c r="H156" s="46"/>
      <c r="I156" s="46"/>
      <c r="J156" s="47"/>
      <c r="K156" s="47"/>
      <c r="L156" s="47"/>
      <c r="M156" s="47"/>
      <c r="N156" s="55"/>
    </row>
    <row r="157" spans="1:14" ht="15.75" x14ac:dyDescent="0.25">
      <c r="A157" s="44"/>
      <c r="B157" s="44"/>
      <c r="C157" s="54"/>
      <c r="D157" s="45"/>
      <c r="E157" s="45"/>
      <c r="F157" s="45">
        <f t="shared" si="2"/>
        <v>0</v>
      </c>
      <c r="G157" s="46"/>
      <c r="H157" s="46"/>
      <c r="I157" s="46"/>
      <c r="J157" s="47"/>
      <c r="K157" s="47"/>
      <c r="L157" s="47"/>
      <c r="M157" s="47"/>
      <c r="N157" s="55"/>
    </row>
    <row r="158" spans="1:14" ht="15.75" x14ac:dyDescent="0.25">
      <c r="A158" s="44"/>
      <c r="B158" s="44"/>
      <c r="C158" s="54"/>
      <c r="D158" s="45"/>
      <c r="E158" s="45"/>
      <c r="F158" s="45">
        <f t="shared" si="2"/>
        <v>0</v>
      </c>
      <c r="G158" s="46"/>
      <c r="H158" s="46"/>
      <c r="I158" s="46"/>
      <c r="J158" s="47"/>
      <c r="K158" s="47"/>
      <c r="L158" s="47"/>
      <c r="M158" s="47"/>
      <c r="N158" s="55"/>
    </row>
    <row r="159" spans="1:14" ht="15.75" x14ac:dyDescent="0.25">
      <c r="A159" s="44"/>
      <c r="B159" s="44"/>
      <c r="C159" s="54"/>
      <c r="D159" s="45"/>
      <c r="E159" s="45"/>
      <c r="F159" s="45">
        <f t="shared" si="2"/>
        <v>0</v>
      </c>
      <c r="G159" s="46"/>
      <c r="H159" s="46"/>
      <c r="I159" s="46"/>
      <c r="J159" s="47"/>
      <c r="K159" s="47"/>
      <c r="L159" s="47"/>
      <c r="M159" s="47"/>
      <c r="N159" s="55"/>
    </row>
    <row r="160" spans="1:14" ht="15.75" x14ac:dyDescent="0.25">
      <c r="A160" s="44"/>
      <c r="B160" s="44"/>
      <c r="C160" s="54"/>
      <c r="D160" s="45"/>
      <c r="E160" s="45"/>
      <c r="F160" s="45">
        <f t="shared" si="2"/>
        <v>0</v>
      </c>
      <c r="G160" s="46"/>
      <c r="H160" s="46"/>
      <c r="I160" s="46"/>
      <c r="J160" s="47"/>
      <c r="K160" s="47"/>
      <c r="L160" s="47"/>
      <c r="M160" s="47"/>
      <c r="N160" s="55"/>
    </row>
    <row r="161" spans="1:14" ht="15.75" x14ac:dyDescent="0.25">
      <c r="A161" s="44"/>
      <c r="B161" s="44"/>
      <c r="C161" s="54"/>
      <c r="D161" s="45"/>
      <c r="E161" s="45"/>
      <c r="F161" s="45">
        <f t="shared" si="2"/>
        <v>0</v>
      </c>
      <c r="G161" s="46"/>
      <c r="H161" s="46"/>
      <c r="I161" s="46"/>
      <c r="J161" s="47"/>
      <c r="K161" s="47"/>
      <c r="L161" s="47"/>
      <c r="M161" s="47"/>
      <c r="N161" s="55"/>
    </row>
    <row r="162" spans="1:14" ht="15.75" x14ac:dyDescent="0.25">
      <c r="A162" s="44"/>
      <c r="B162" s="44"/>
      <c r="C162" s="54"/>
      <c r="D162" s="45"/>
      <c r="E162" s="45"/>
      <c r="F162" s="45">
        <f t="shared" si="2"/>
        <v>0</v>
      </c>
      <c r="G162" s="46"/>
      <c r="H162" s="46"/>
      <c r="I162" s="46"/>
      <c r="J162" s="47"/>
      <c r="K162" s="47"/>
      <c r="L162" s="47"/>
      <c r="M162" s="47"/>
      <c r="N162" s="55"/>
    </row>
    <row r="163" spans="1:14" ht="15.75" x14ac:dyDescent="0.25">
      <c r="A163" s="44"/>
      <c r="B163" s="44"/>
      <c r="C163" s="54"/>
      <c r="D163" s="45"/>
      <c r="E163" s="45"/>
      <c r="F163" s="45">
        <f t="shared" si="2"/>
        <v>0</v>
      </c>
      <c r="G163" s="46"/>
      <c r="H163" s="46"/>
      <c r="I163" s="46"/>
      <c r="J163" s="47"/>
      <c r="K163" s="47"/>
      <c r="L163" s="47"/>
      <c r="M163" s="47"/>
      <c r="N163" s="55"/>
    </row>
    <row r="164" spans="1:14" ht="15.75" x14ac:dyDescent="0.25">
      <c r="A164" s="44"/>
      <c r="B164" s="44"/>
      <c r="C164" s="54"/>
      <c r="D164" s="45"/>
      <c r="E164" s="45"/>
      <c r="F164" s="45">
        <f t="shared" si="2"/>
        <v>0</v>
      </c>
      <c r="G164" s="46"/>
      <c r="H164" s="46"/>
      <c r="I164" s="46"/>
      <c r="J164" s="47"/>
      <c r="K164" s="47"/>
      <c r="L164" s="47"/>
      <c r="M164" s="47"/>
      <c r="N164" s="55"/>
    </row>
    <row r="165" spans="1:14" ht="15.75" x14ac:dyDescent="0.25">
      <c r="A165" s="44"/>
      <c r="B165" s="44"/>
      <c r="C165" s="54"/>
      <c r="D165" s="45"/>
      <c r="E165" s="45"/>
      <c r="F165" s="45">
        <f t="shared" si="2"/>
        <v>0</v>
      </c>
      <c r="G165" s="46"/>
      <c r="H165" s="46"/>
      <c r="I165" s="46"/>
      <c r="J165" s="47"/>
      <c r="K165" s="47"/>
      <c r="L165" s="47"/>
      <c r="M165" s="47"/>
      <c r="N165" s="55"/>
    </row>
    <row r="166" spans="1:14" ht="15.75" x14ac:dyDescent="0.25">
      <c r="A166" s="44"/>
      <c r="B166" s="44"/>
      <c r="C166" s="54"/>
      <c r="D166" s="45"/>
      <c r="E166" s="45"/>
      <c r="F166" s="45">
        <f t="shared" si="2"/>
        <v>0</v>
      </c>
      <c r="G166" s="46"/>
      <c r="H166" s="46"/>
      <c r="I166" s="46"/>
      <c r="J166" s="47"/>
      <c r="K166" s="47"/>
      <c r="L166" s="47"/>
      <c r="M166" s="47"/>
      <c r="N166" s="55"/>
    </row>
    <row r="167" spans="1:14" ht="15.75" x14ac:dyDescent="0.25">
      <c r="A167" s="44"/>
      <c r="B167" s="44"/>
      <c r="C167" s="54"/>
      <c r="D167" s="45"/>
      <c r="E167" s="45"/>
      <c r="F167" s="45">
        <f t="shared" si="2"/>
        <v>0</v>
      </c>
      <c r="G167" s="46"/>
      <c r="H167" s="46"/>
      <c r="I167" s="46"/>
      <c r="J167" s="47"/>
      <c r="K167" s="47"/>
      <c r="L167" s="47"/>
      <c r="M167" s="47"/>
      <c r="N167" s="55"/>
    </row>
    <row r="168" spans="1:14" ht="15.75" x14ac:dyDescent="0.25">
      <c r="A168" s="44"/>
      <c r="B168" s="44"/>
      <c r="C168" s="54"/>
      <c r="D168" s="45"/>
      <c r="E168" s="45"/>
      <c r="F168" s="45">
        <f t="shared" si="2"/>
        <v>0</v>
      </c>
      <c r="G168" s="46"/>
      <c r="H168" s="46"/>
      <c r="I168" s="46"/>
      <c r="J168" s="47"/>
      <c r="K168" s="47"/>
      <c r="L168" s="47"/>
      <c r="M168" s="47"/>
      <c r="N168" s="55"/>
    </row>
    <row r="169" spans="1:14" ht="15.75" x14ac:dyDescent="0.25">
      <c r="A169" s="44"/>
      <c r="B169" s="44"/>
      <c r="C169" s="54"/>
      <c r="D169" s="45"/>
      <c r="E169" s="45"/>
      <c r="F169" s="45">
        <f t="shared" si="2"/>
        <v>0</v>
      </c>
      <c r="G169" s="46"/>
      <c r="H169" s="46"/>
      <c r="I169" s="46"/>
      <c r="J169" s="47"/>
      <c r="K169" s="47"/>
      <c r="L169" s="47"/>
      <c r="M169" s="47"/>
      <c r="N169" s="55"/>
    </row>
    <row r="170" spans="1:14" ht="15.75" x14ac:dyDescent="0.25">
      <c r="A170" s="44"/>
      <c r="B170" s="44"/>
      <c r="C170" s="54"/>
      <c r="D170" s="45"/>
      <c r="E170" s="45"/>
      <c r="F170" s="45">
        <f t="shared" si="2"/>
        <v>0</v>
      </c>
      <c r="G170" s="46"/>
      <c r="H170" s="46"/>
      <c r="I170" s="46"/>
      <c r="J170" s="47"/>
      <c r="K170" s="47"/>
      <c r="L170" s="47"/>
      <c r="M170" s="47"/>
      <c r="N170" s="55"/>
    </row>
    <row r="171" spans="1:14" ht="15.75" x14ac:dyDescent="0.25">
      <c r="A171" s="44"/>
      <c r="B171" s="44"/>
      <c r="C171" s="54"/>
      <c r="D171" s="45"/>
      <c r="E171" s="45"/>
      <c r="F171" s="45">
        <f t="shared" si="2"/>
        <v>0</v>
      </c>
      <c r="G171" s="46"/>
      <c r="H171" s="46"/>
      <c r="I171" s="46"/>
      <c r="J171" s="47"/>
      <c r="K171" s="47"/>
      <c r="L171" s="47"/>
      <c r="M171" s="47"/>
      <c r="N171" s="55"/>
    </row>
    <row r="172" spans="1:14" ht="15.75" x14ac:dyDescent="0.25">
      <c r="A172" s="44"/>
      <c r="B172" s="44"/>
      <c r="C172" s="54"/>
      <c r="D172" s="45"/>
      <c r="E172" s="45"/>
      <c r="F172" s="45">
        <f t="shared" si="2"/>
        <v>0</v>
      </c>
      <c r="G172" s="46"/>
      <c r="H172" s="46"/>
      <c r="I172" s="46"/>
      <c r="J172" s="47"/>
      <c r="K172" s="47"/>
      <c r="L172" s="47"/>
      <c r="M172" s="47"/>
      <c r="N172" s="55"/>
    </row>
    <row r="173" spans="1:14" ht="15.75" x14ac:dyDescent="0.25">
      <c r="A173" s="44"/>
      <c r="B173" s="44"/>
      <c r="C173" s="54"/>
      <c r="D173" s="45"/>
      <c r="E173" s="45"/>
      <c r="F173" s="45">
        <f t="shared" si="2"/>
        <v>0</v>
      </c>
      <c r="G173" s="46"/>
      <c r="H173" s="46"/>
      <c r="I173" s="46"/>
      <c r="J173" s="47"/>
      <c r="K173" s="47"/>
      <c r="L173" s="47"/>
      <c r="M173" s="47"/>
      <c r="N173" s="55"/>
    </row>
    <row r="174" spans="1:14" ht="15.75" x14ac:dyDescent="0.25">
      <c r="A174" s="44"/>
      <c r="B174" s="44"/>
      <c r="C174" s="54"/>
      <c r="D174" s="45"/>
      <c r="E174" s="45"/>
      <c r="F174" s="45">
        <f t="shared" si="2"/>
        <v>0</v>
      </c>
      <c r="G174" s="46"/>
      <c r="H174" s="46"/>
      <c r="I174" s="46"/>
      <c r="J174" s="47"/>
      <c r="K174" s="47"/>
      <c r="L174" s="47"/>
      <c r="M174" s="47"/>
      <c r="N174" s="55"/>
    </row>
    <row r="175" spans="1:14" ht="15.75" x14ac:dyDescent="0.25">
      <c r="A175" s="44"/>
      <c r="B175" s="44"/>
      <c r="C175" s="54"/>
      <c r="D175" s="45"/>
      <c r="E175" s="45"/>
      <c r="F175" s="45">
        <f t="shared" si="2"/>
        <v>0</v>
      </c>
      <c r="G175" s="46"/>
      <c r="H175" s="46"/>
      <c r="I175" s="46"/>
      <c r="J175" s="47"/>
      <c r="K175" s="47"/>
      <c r="L175" s="47"/>
      <c r="M175" s="47"/>
      <c r="N175" s="55"/>
    </row>
    <row r="176" spans="1:14" ht="15.75" x14ac:dyDescent="0.25">
      <c r="A176" s="44"/>
      <c r="B176" s="44"/>
      <c r="C176" s="54"/>
      <c r="D176" s="45"/>
      <c r="E176" s="45"/>
      <c r="F176" s="45">
        <f t="shared" si="2"/>
        <v>0</v>
      </c>
      <c r="G176" s="46"/>
      <c r="H176" s="46"/>
      <c r="I176" s="46"/>
      <c r="J176" s="47"/>
      <c r="K176" s="47"/>
      <c r="L176" s="47"/>
      <c r="M176" s="47"/>
      <c r="N176" s="55"/>
    </row>
    <row r="177" spans="1:14" ht="15.75" x14ac:dyDescent="0.25">
      <c r="A177" s="44"/>
      <c r="B177" s="44"/>
      <c r="C177" s="54"/>
      <c r="D177" s="45"/>
      <c r="E177" s="45"/>
      <c r="F177" s="45">
        <f t="shared" si="2"/>
        <v>0</v>
      </c>
      <c r="G177" s="46"/>
      <c r="H177" s="46"/>
      <c r="I177" s="46"/>
      <c r="J177" s="47"/>
      <c r="K177" s="47"/>
      <c r="L177" s="47"/>
      <c r="M177" s="47"/>
      <c r="N177" s="55"/>
    </row>
    <row r="178" spans="1:14" ht="15.75" x14ac:dyDescent="0.25">
      <c r="A178" s="44"/>
      <c r="B178" s="44"/>
      <c r="C178" s="54"/>
      <c r="D178" s="45"/>
      <c r="E178" s="45"/>
      <c r="F178" s="45">
        <f t="shared" si="2"/>
        <v>0</v>
      </c>
      <c r="G178" s="46"/>
      <c r="H178" s="46"/>
      <c r="I178" s="46"/>
      <c r="J178" s="47"/>
      <c r="K178" s="47"/>
      <c r="L178" s="47"/>
      <c r="M178" s="47"/>
      <c r="N178" s="55"/>
    </row>
    <row r="179" spans="1:14" ht="15.75" x14ac:dyDescent="0.25">
      <c r="A179" s="44"/>
      <c r="B179" s="44"/>
      <c r="C179" s="54"/>
      <c r="D179" s="45"/>
      <c r="E179" s="45"/>
      <c r="F179" s="45">
        <f t="shared" si="2"/>
        <v>0</v>
      </c>
      <c r="G179" s="46"/>
      <c r="H179" s="46"/>
      <c r="I179" s="46"/>
      <c r="J179" s="47"/>
      <c r="K179" s="47"/>
      <c r="L179" s="47"/>
      <c r="M179" s="47"/>
      <c r="N179" s="55"/>
    </row>
    <row r="180" spans="1:14" ht="15.75" x14ac:dyDescent="0.25">
      <c r="A180" s="44"/>
      <c r="B180" s="44"/>
      <c r="C180" s="54"/>
      <c r="D180" s="45"/>
      <c r="E180" s="45"/>
      <c r="F180" s="45">
        <f t="shared" si="2"/>
        <v>0</v>
      </c>
      <c r="G180" s="46"/>
      <c r="H180" s="46"/>
      <c r="I180" s="46"/>
      <c r="J180" s="47"/>
      <c r="K180" s="47"/>
      <c r="L180" s="47"/>
      <c r="M180" s="47"/>
      <c r="N180" s="55"/>
    </row>
    <row r="181" spans="1:14" ht="15.75" x14ac:dyDescent="0.25">
      <c r="A181" s="44"/>
      <c r="B181" s="44"/>
      <c r="C181" s="54"/>
      <c r="D181" s="45"/>
      <c r="E181" s="45"/>
      <c r="F181" s="45">
        <f t="shared" si="2"/>
        <v>0</v>
      </c>
      <c r="G181" s="46"/>
      <c r="H181" s="46"/>
      <c r="I181" s="46"/>
      <c r="J181" s="47"/>
      <c r="K181" s="47"/>
      <c r="L181" s="47"/>
      <c r="M181" s="47"/>
      <c r="N181" s="55"/>
    </row>
    <row r="182" spans="1:14" ht="15.75" x14ac:dyDescent="0.25">
      <c r="A182" s="44"/>
      <c r="B182" s="44"/>
      <c r="C182" s="54"/>
      <c r="D182" s="45"/>
      <c r="E182" s="45"/>
      <c r="F182" s="45">
        <f t="shared" si="2"/>
        <v>0</v>
      </c>
      <c r="G182" s="46"/>
      <c r="H182" s="46"/>
      <c r="I182" s="46"/>
      <c r="J182" s="47"/>
      <c r="K182" s="47"/>
      <c r="L182" s="47"/>
      <c r="M182" s="47"/>
      <c r="N182" s="55"/>
    </row>
    <row r="183" spans="1:14" ht="15.75" x14ac:dyDescent="0.25">
      <c r="A183" s="44"/>
      <c r="B183" s="44"/>
      <c r="C183" s="54"/>
      <c r="D183" s="45"/>
      <c r="E183" s="45"/>
      <c r="F183" s="45">
        <f t="shared" si="2"/>
        <v>0</v>
      </c>
      <c r="G183" s="46"/>
      <c r="H183" s="46"/>
      <c r="I183" s="46"/>
      <c r="J183" s="47"/>
      <c r="K183" s="47"/>
      <c r="L183" s="47"/>
      <c r="M183" s="47"/>
      <c r="N183" s="55"/>
    </row>
    <row r="184" spans="1:14" ht="15.75" x14ac:dyDescent="0.25">
      <c r="A184" s="44"/>
      <c r="B184" s="44"/>
      <c r="C184" s="54"/>
      <c r="D184" s="45"/>
      <c r="E184" s="45"/>
      <c r="F184" s="45">
        <f t="shared" si="2"/>
        <v>0</v>
      </c>
      <c r="G184" s="46"/>
      <c r="H184" s="46"/>
      <c r="I184" s="46"/>
      <c r="J184" s="47"/>
      <c r="K184" s="47"/>
      <c r="L184" s="47"/>
      <c r="M184" s="47"/>
      <c r="N184" s="55"/>
    </row>
    <row r="185" spans="1:14" ht="15.75" x14ac:dyDescent="0.25">
      <c r="A185" s="44"/>
      <c r="B185" s="44"/>
      <c r="C185" s="54"/>
      <c r="D185" s="45"/>
      <c r="E185" s="45"/>
      <c r="F185" s="45">
        <f t="shared" si="2"/>
        <v>0</v>
      </c>
      <c r="G185" s="46"/>
      <c r="H185" s="46"/>
      <c r="I185" s="46"/>
      <c r="J185" s="47"/>
      <c r="K185" s="47"/>
      <c r="L185" s="47"/>
      <c r="M185" s="47"/>
      <c r="N185" s="55"/>
    </row>
    <row r="186" spans="1:14" ht="15.75" x14ac:dyDescent="0.25">
      <c r="A186" s="44"/>
      <c r="B186" s="44"/>
      <c r="C186" s="54"/>
      <c r="D186" s="45"/>
      <c r="E186" s="45"/>
      <c r="F186" s="45">
        <f t="shared" si="2"/>
        <v>0</v>
      </c>
      <c r="G186" s="46"/>
      <c r="H186" s="46"/>
      <c r="I186" s="46"/>
      <c r="J186" s="47"/>
      <c r="K186" s="47"/>
      <c r="L186" s="47"/>
      <c r="M186" s="47"/>
      <c r="N186" s="55"/>
    </row>
    <row r="187" spans="1:14" ht="15.75" x14ac:dyDescent="0.25">
      <c r="A187" s="44"/>
      <c r="B187" s="44"/>
      <c r="C187" s="54"/>
      <c r="D187" s="45"/>
      <c r="E187" s="45"/>
      <c r="F187" s="45">
        <f t="shared" si="2"/>
        <v>0</v>
      </c>
      <c r="G187" s="46"/>
      <c r="H187" s="46"/>
      <c r="I187" s="46"/>
      <c r="J187" s="47"/>
      <c r="K187" s="47"/>
      <c r="L187" s="47"/>
      <c r="M187" s="47"/>
      <c r="N187" s="55"/>
    </row>
    <row r="188" spans="1:14" ht="15.75" x14ac:dyDescent="0.25">
      <c r="A188" s="44"/>
      <c r="B188" s="44"/>
      <c r="C188" s="54"/>
      <c r="D188" s="45"/>
      <c r="E188" s="45"/>
      <c r="F188" s="45">
        <f t="shared" si="2"/>
        <v>0</v>
      </c>
      <c r="G188" s="46"/>
      <c r="H188" s="46"/>
      <c r="I188" s="46"/>
      <c r="J188" s="47"/>
      <c r="K188" s="47"/>
      <c r="L188" s="47"/>
      <c r="M188" s="47"/>
      <c r="N188" s="55"/>
    </row>
    <row r="189" spans="1:14" ht="15.75" x14ac:dyDescent="0.25">
      <c r="A189" s="44"/>
      <c r="B189" s="44"/>
      <c r="C189" s="54"/>
      <c r="D189" s="45"/>
      <c r="E189" s="45"/>
      <c r="F189" s="45">
        <f t="shared" si="2"/>
        <v>0</v>
      </c>
      <c r="G189" s="46"/>
      <c r="H189" s="46"/>
      <c r="I189" s="46"/>
      <c r="J189" s="47"/>
      <c r="K189" s="47"/>
      <c r="L189" s="47"/>
      <c r="M189" s="47"/>
      <c r="N189" s="55"/>
    </row>
    <row r="190" spans="1:14" ht="15.75" x14ac:dyDescent="0.25">
      <c r="A190" s="44"/>
      <c r="B190" s="44"/>
      <c r="C190" s="54"/>
      <c r="D190" s="45"/>
      <c r="E190" s="45"/>
      <c r="F190" s="45">
        <f t="shared" si="2"/>
        <v>0</v>
      </c>
      <c r="G190" s="46"/>
      <c r="H190" s="46"/>
      <c r="I190" s="46"/>
      <c r="J190" s="47"/>
      <c r="K190" s="47"/>
      <c r="L190" s="47"/>
      <c r="M190" s="47"/>
      <c r="N190" s="55"/>
    </row>
    <row r="191" spans="1:14" ht="15.75" x14ac:dyDescent="0.25">
      <c r="A191" s="44"/>
      <c r="B191" s="44"/>
      <c r="C191" s="54"/>
      <c r="D191" s="45"/>
      <c r="E191" s="45"/>
      <c r="F191" s="45">
        <f t="shared" si="2"/>
        <v>0</v>
      </c>
      <c r="G191" s="46"/>
      <c r="H191" s="46"/>
      <c r="I191" s="46"/>
      <c r="J191" s="47"/>
      <c r="K191" s="47"/>
      <c r="L191" s="47"/>
      <c r="M191" s="47"/>
      <c r="N191" s="55"/>
    </row>
    <row r="192" spans="1:14" ht="15.75" x14ac:dyDescent="0.25">
      <c r="A192" s="44"/>
      <c r="B192" s="44"/>
      <c r="C192" s="54"/>
      <c r="D192" s="45"/>
      <c r="E192" s="45"/>
      <c r="F192" s="45">
        <f t="shared" si="2"/>
        <v>0</v>
      </c>
      <c r="G192" s="46"/>
      <c r="H192" s="46"/>
      <c r="I192" s="46"/>
      <c r="J192" s="47"/>
      <c r="K192" s="47"/>
      <c r="L192" s="47"/>
      <c r="M192" s="47"/>
      <c r="N192" s="55"/>
    </row>
    <row r="193" spans="1:14" ht="15.75" x14ac:dyDescent="0.25">
      <c r="A193" s="44"/>
      <c r="B193" s="44"/>
      <c r="C193" s="54"/>
      <c r="D193" s="45"/>
      <c r="E193" s="45"/>
      <c r="F193" s="45">
        <f t="shared" si="2"/>
        <v>0</v>
      </c>
      <c r="G193" s="46"/>
      <c r="H193" s="46"/>
      <c r="I193" s="46"/>
      <c r="J193" s="47"/>
      <c r="K193" s="47"/>
      <c r="L193" s="47"/>
      <c r="M193" s="47"/>
      <c r="N193" s="55"/>
    </row>
    <row r="194" spans="1:14" ht="15.75" x14ac:dyDescent="0.25">
      <c r="A194" s="44"/>
      <c r="B194" s="44"/>
      <c r="C194" s="54"/>
      <c r="D194" s="45"/>
      <c r="E194" s="45"/>
      <c r="F194" s="45">
        <f t="shared" si="2"/>
        <v>0</v>
      </c>
      <c r="G194" s="46"/>
      <c r="H194" s="46"/>
      <c r="I194" s="46"/>
      <c r="J194" s="47"/>
      <c r="K194" s="47"/>
      <c r="L194" s="47"/>
      <c r="M194" s="47"/>
      <c r="N194" s="55"/>
    </row>
    <row r="195" spans="1:14" ht="15.75" x14ac:dyDescent="0.25">
      <c r="A195" s="44"/>
      <c r="B195" s="44"/>
      <c r="C195" s="54"/>
      <c r="D195" s="45"/>
      <c r="E195" s="45"/>
      <c r="F195" s="45">
        <f t="shared" si="2"/>
        <v>0</v>
      </c>
      <c r="G195" s="46"/>
      <c r="H195" s="46"/>
      <c r="I195" s="46"/>
      <c r="J195" s="47"/>
      <c r="K195" s="47"/>
      <c r="L195" s="47"/>
      <c r="M195" s="47"/>
      <c r="N195" s="55"/>
    </row>
    <row r="196" spans="1:14" ht="15.75" x14ac:dyDescent="0.25">
      <c r="A196" s="44"/>
      <c r="B196" s="44"/>
      <c r="C196" s="54"/>
      <c r="D196" s="45"/>
      <c r="E196" s="45"/>
      <c r="F196" s="45">
        <f t="shared" si="2"/>
        <v>0</v>
      </c>
      <c r="G196" s="46"/>
      <c r="H196" s="46"/>
      <c r="I196" s="46"/>
      <c r="J196" s="47"/>
      <c r="K196" s="47"/>
      <c r="L196" s="47"/>
      <c r="M196" s="47"/>
      <c r="N196" s="55"/>
    </row>
    <row r="197" spans="1:14" ht="15.75" x14ac:dyDescent="0.25">
      <c r="A197" s="44"/>
      <c r="B197" s="44"/>
      <c r="C197" s="54"/>
      <c r="D197" s="45"/>
      <c r="E197" s="45"/>
      <c r="F197" s="45">
        <f t="shared" si="2"/>
        <v>0</v>
      </c>
      <c r="G197" s="46"/>
      <c r="H197" s="46"/>
      <c r="I197" s="46"/>
      <c r="J197" s="47"/>
      <c r="K197" s="47"/>
      <c r="L197" s="47"/>
      <c r="M197" s="47"/>
      <c r="N197" s="55"/>
    </row>
    <row r="198" spans="1:14" ht="15.75" x14ac:dyDescent="0.25">
      <c r="A198" s="44"/>
      <c r="B198" s="44"/>
      <c r="C198" s="54"/>
      <c r="D198" s="45"/>
      <c r="E198" s="45"/>
      <c r="F198" s="45">
        <f t="shared" si="2"/>
        <v>0</v>
      </c>
      <c r="G198" s="46"/>
      <c r="H198" s="46"/>
      <c r="I198" s="46"/>
      <c r="J198" s="47"/>
      <c r="K198" s="47"/>
      <c r="L198" s="47"/>
      <c r="M198" s="47"/>
      <c r="N198" s="55"/>
    </row>
    <row r="199" spans="1:14" ht="15.75" x14ac:dyDescent="0.25">
      <c r="A199" s="44"/>
      <c r="B199" s="44"/>
      <c r="C199" s="54"/>
      <c r="D199" s="45"/>
      <c r="E199" s="45"/>
      <c r="F199" s="45">
        <f t="shared" ref="F199" si="3">D199*E199</f>
        <v>0</v>
      </c>
      <c r="G199" s="46"/>
      <c r="H199" s="46"/>
      <c r="I199" s="46"/>
      <c r="J199" s="47"/>
      <c r="K199" s="47"/>
      <c r="L199" s="47"/>
      <c r="M199" s="47"/>
      <c r="N199" s="55"/>
    </row>
  </sheetData>
  <mergeCells count="10">
    <mergeCell ref="J1:K1"/>
    <mergeCell ref="M1:N3"/>
    <mergeCell ref="B1:C1"/>
    <mergeCell ref="B2:C2"/>
    <mergeCell ref="B3:C3"/>
    <mergeCell ref="G1:H1"/>
    <mergeCell ref="G2:H2"/>
    <mergeCell ref="G3:H3"/>
    <mergeCell ref="J2:K2"/>
    <mergeCell ref="J3:K3"/>
  </mergeCells>
  <dataValidations count="3">
    <dataValidation type="list" allowBlank="1" showInputMessage="1" showErrorMessage="1" sqref="J6:J199" xr:uid="{B20F25A9-1153-4319-B9CD-885F12BC0EC1}">
      <formula1>DepartmentList</formula1>
    </dataValidation>
    <dataValidation type="list" allowBlank="1" showInputMessage="1" showErrorMessage="1" sqref="B1:C1" xr:uid="{6ACD88B8-B3F4-4816-90F1-EBE6D6B2590D}">
      <formula1>Buyers</formula1>
    </dataValidation>
    <dataValidation type="list" allowBlank="1" showInputMessage="1" showErrorMessage="1" sqref="G2:H2" xr:uid="{EDC25581-5CF3-42B2-A844-8F5C14DF5A5D}">
      <formula1>WarehouseAddresses</formula1>
    </dataValidation>
  </dataValidations>
  <hyperlinks>
    <hyperlink ref="G1" r:id="rId1" xr:uid="{E5631810-E053-4ED4-89B8-BE27B55B3E64}"/>
    <hyperlink ref="J1" r:id="rId2" xr:uid="{3905F133-0879-4CC8-8C3D-3AA9EEB5F164}"/>
  </hyperlinks>
  <pageMargins left="0.7" right="0.7" top="0.75" bottom="0.75" header="0.3" footer="0.3"/>
  <pageSetup orientation="landscape"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9AC4A52-E37A-4093-B6CD-F93AA50E86D3}">
          <x14:formula1>
            <xm:f>'Categories Breakdown'!$F$2:$F$18</xm:f>
          </x14:formula1>
          <xm:sqref>M6:M199</xm:sqref>
        </x14:dataValidation>
        <x14:dataValidation type="list" allowBlank="1" showInputMessage="1" showErrorMessage="1" xr:uid="{B6B1FA86-9F32-41A4-90AD-EC961DC56C51}">
          <x14:formula1>
            <xm:f>_xlfn.ANCHORARRAY(_xlfn.XLOOKUP(J6,DropDownLists!$C$2:$X$2,DropDownLists!$C$3:$X$3))</xm:f>
          </x14:formula1>
          <xm:sqref>K6:K199</xm:sqref>
        </x14:dataValidation>
        <x14:dataValidation type="list" allowBlank="1" showInputMessage="1" showErrorMessage="1" xr:uid="{97AD33F3-E98F-457F-8268-B2196673DF0A}">
          <x14:formula1>
            <xm:f>_xlfn.ANCHORARRAY(_xlfn.XLOOKUP(K6,DropDownLists!$Y$2:$FR$2,DropDownLists!$Y$3:$FR$3))</xm:f>
          </x14:formula1>
          <xm:sqref>L6:L199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1219-77EE-4752-8865-DE17CA4E277F}">
  <sheetPr>
    <pageSetUpPr fitToPage="1"/>
  </sheetPr>
  <dimension ref="A1:AC413"/>
  <sheetViews>
    <sheetView showZeros="0" topLeftCell="H1" zoomScale="140" zoomScaleNormal="140" workbookViewId="0">
      <pane ySplit="1" topLeftCell="A2" activePane="bottomLeft" state="frozen"/>
      <selection pane="bottomLeft" activeCell="M11" sqref="M11"/>
    </sheetView>
  </sheetViews>
  <sheetFormatPr defaultRowHeight="15" x14ac:dyDescent="0.25"/>
  <cols>
    <col min="1" max="1" width="20.85546875" bestFit="1" customWidth="1"/>
    <col min="2" max="2" width="38.85546875" bestFit="1" customWidth="1"/>
    <col min="3" max="3" width="29.140625" bestFit="1" customWidth="1"/>
    <col min="4" max="4" width="36.140625" style="3" bestFit="1" customWidth="1"/>
    <col min="5" max="5" width="3.140625" customWidth="1"/>
    <col min="6" max="6" width="23.7109375" bestFit="1" customWidth="1"/>
    <col min="7" max="7" width="22.28515625" bestFit="1" customWidth="1"/>
    <col min="8" max="8" width="23.85546875" bestFit="1" customWidth="1"/>
    <col min="9" max="9" width="3" customWidth="1"/>
    <col min="10" max="10" width="23.85546875" customWidth="1"/>
    <col min="11" max="11" width="16.5703125" style="5" bestFit="1" customWidth="1"/>
    <col min="12" max="12" width="3" style="5" customWidth="1"/>
    <col min="13" max="13" width="7.28515625" customWidth="1"/>
    <col min="14" max="14" width="20.28515625" bestFit="1" customWidth="1"/>
    <col min="15" max="15" width="2.85546875" customWidth="1"/>
    <col min="16" max="16" width="12.42578125" customWidth="1"/>
    <col min="17" max="17" width="19.85546875" bestFit="1" customWidth="1"/>
    <col min="18" max="18" width="32.7109375" bestFit="1" customWidth="1"/>
  </cols>
  <sheetData>
    <row r="1" spans="1:29" x14ac:dyDescent="0.25">
      <c r="A1" s="4" t="s">
        <v>25</v>
      </c>
      <c r="B1" s="4" t="s">
        <v>26</v>
      </c>
      <c r="C1" s="2" t="s">
        <v>27</v>
      </c>
      <c r="D1" s="2" t="s">
        <v>28</v>
      </c>
      <c r="E1" s="2"/>
      <c r="F1" s="28" t="s">
        <v>29</v>
      </c>
      <c r="G1" s="28" t="s">
        <v>30</v>
      </c>
      <c r="H1" s="28" t="s">
        <v>31</v>
      </c>
      <c r="I1" s="4"/>
      <c r="J1" s="36" t="s">
        <v>32</v>
      </c>
      <c r="K1" s="36" t="s">
        <v>33</v>
      </c>
      <c r="L1" s="4"/>
      <c r="M1" s="36" t="s">
        <v>34</v>
      </c>
      <c r="N1" s="36" t="s">
        <v>35</v>
      </c>
      <c r="P1" s="40" t="s">
        <v>36</v>
      </c>
      <c r="Q1" s="41" t="s">
        <v>37</v>
      </c>
      <c r="R1" s="36" t="s">
        <v>587</v>
      </c>
    </row>
    <row r="2" spans="1:29" s="6" customFormat="1" x14ac:dyDescent="0.25">
      <c r="A2" t="s">
        <v>38</v>
      </c>
      <c r="B2" t="s">
        <v>39</v>
      </c>
      <c r="C2" t="s">
        <v>40</v>
      </c>
      <c r="D2"/>
      <c r="E2" s="3"/>
      <c r="F2" s="23" t="str">
        <f>G2 &amp; " - " &amp;H2</f>
        <v>4th Quarter - 4TH-Q</v>
      </c>
      <c r="G2" s="13" t="s">
        <v>41</v>
      </c>
      <c r="H2" s="24" t="s">
        <v>42</v>
      </c>
      <c r="I2" s="5"/>
      <c r="J2" s="32" t="s">
        <v>43</v>
      </c>
      <c r="K2" s="34" t="s">
        <v>44</v>
      </c>
      <c r="L2" s="5"/>
      <c r="M2" s="39" t="s">
        <v>45</v>
      </c>
      <c r="N2" s="34" t="s">
        <v>46</v>
      </c>
      <c r="O2"/>
      <c r="P2" s="50" t="s">
        <v>47</v>
      </c>
      <c r="Q2" s="51" t="s">
        <v>48</v>
      </c>
      <c r="R2" s="57" t="s">
        <v>588</v>
      </c>
      <c r="S2"/>
      <c r="T2"/>
      <c r="U2"/>
      <c r="V2"/>
      <c r="W2"/>
      <c r="X2"/>
      <c r="Y2"/>
      <c r="Z2"/>
      <c r="AA2"/>
      <c r="AB2"/>
      <c r="AC2"/>
    </row>
    <row r="3" spans="1:29" s="6" customFormat="1" x14ac:dyDescent="0.25">
      <c r="A3" t="s">
        <v>38</v>
      </c>
      <c r="B3" t="s">
        <v>39</v>
      </c>
      <c r="C3" t="s">
        <v>49</v>
      </c>
      <c r="D3"/>
      <c r="E3" s="3"/>
      <c r="F3" s="23" t="str">
        <f t="shared" ref="F3:F18" si="0">G3 &amp; " - " &amp;H3</f>
        <v>Christmas - CH</v>
      </c>
      <c r="G3" s="14" t="s">
        <v>50</v>
      </c>
      <c r="H3" s="25" t="s">
        <v>51</v>
      </c>
      <c r="I3" s="18"/>
      <c r="J3" s="32" t="s">
        <v>52</v>
      </c>
      <c r="K3" s="34" t="s">
        <v>53</v>
      </c>
      <c r="L3" s="18"/>
      <c r="M3" s="39" t="s">
        <v>54</v>
      </c>
      <c r="N3" s="34" t="s">
        <v>55</v>
      </c>
      <c r="O3"/>
      <c r="P3" s="39" t="s">
        <v>56</v>
      </c>
      <c r="Q3" s="34" t="s">
        <v>57</v>
      </c>
      <c r="R3" s="34" t="s">
        <v>589</v>
      </c>
      <c r="S3"/>
      <c r="T3"/>
      <c r="U3"/>
      <c r="V3"/>
      <c r="W3"/>
      <c r="X3"/>
      <c r="Y3"/>
      <c r="Z3"/>
      <c r="AA3"/>
      <c r="AB3"/>
      <c r="AC3"/>
    </row>
    <row r="4" spans="1:29" s="6" customFormat="1" x14ac:dyDescent="0.25">
      <c r="A4" t="s">
        <v>38</v>
      </c>
      <c r="B4" t="s">
        <v>39</v>
      </c>
      <c r="C4" t="s">
        <v>58</v>
      </c>
      <c r="D4"/>
      <c r="E4" s="3"/>
      <c r="F4" s="23" t="str">
        <f t="shared" si="0"/>
        <v>Cinco De Mayo - CINCO</v>
      </c>
      <c r="G4" s="14" t="s">
        <v>59</v>
      </c>
      <c r="H4" s="25" t="s">
        <v>60</v>
      </c>
      <c r="I4" s="18"/>
      <c r="J4" s="32" t="s">
        <v>61</v>
      </c>
      <c r="K4" s="34" t="s">
        <v>62</v>
      </c>
      <c r="L4" s="18"/>
      <c r="M4" s="39" t="s">
        <v>63</v>
      </c>
      <c r="N4" s="34" t="s">
        <v>64</v>
      </c>
      <c r="O4"/>
      <c r="P4" s="48" t="s">
        <v>65</v>
      </c>
      <c r="Q4" s="49" t="s">
        <v>66</v>
      </c>
      <c r="R4" s="56" t="s">
        <v>590</v>
      </c>
      <c r="S4"/>
      <c r="T4"/>
      <c r="U4"/>
      <c r="V4"/>
      <c r="W4"/>
      <c r="X4"/>
      <c r="Y4"/>
      <c r="Z4"/>
      <c r="AA4"/>
      <c r="AB4"/>
      <c r="AC4"/>
    </row>
    <row r="5" spans="1:29" s="6" customFormat="1" x14ac:dyDescent="0.25">
      <c r="A5" t="s">
        <v>38</v>
      </c>
      <c r="B5" t="s">
        <v>39</v>
      </c>
      <c r="C5" t="s">
        <v>67</v>
      </c>
      <c r="D5"/>
      <c r="E5" s="3"/>
      <c r="F5" s="23" t="str">
        <f t="shared" si="0"/>
        <v>Father's Day - DAD</v>
      </c>
      <c r="G5" s="14" t="s">
        <v>68</v>
      </c>
      <c r="H5" s="25" t="s">
        <v>69</v>
      </c>
      <c r="I5" s="18"/>
      <c r="J5" s="32" t="s">
        <v>70</v>
      </c>
      <c r="K5" s="34" t="s">
        <v>71</v>
      </c>
      <c r="L5" s="18"/>
      <c r="M5" s="39" t="s">
        <v>72</v>
      </c>
      <c r="N5" s="34" t="s">
        <v>73</v>
      </c>
      <c r="O5"/>
      <c r="P5" s="58" t="s">
        <v>81</v>
      </c>
      <c r="Q5" s="59" t="s">
        <v>82</v>
      </c>
      <c r="R5" s="60" t="s">
        <v>591</v>
      </c>
      <c r="S5"/>
      <c r="T5"/>
      <c r="U5"/>
      <c r="V5"/>
      <c r="W5"/>
      <c r="X5"/>
      <c r="Y5"/>
      <c r="Z5"/>
      <c r="AA5"/>
      <c r="AB5"/>
      <c r="AC5"/>
    </row>
    <row r="6" spans="1:29" s="6" customFormat="1" x14ac:dyDescent="0.25">
      <c r="A6" t="s">
        <v>38</v>
      </c>
      <c r="B6" t="s">
        <v>39</v>
      </c>
      <c r="C6" t="s">
        <v>74</v>
      </c>
      <c r="D6"/>
      <c r="E6" s="3"/>
      <c r="F6" s="23" t="str">
        <f t="shared" si="0"/>
        <v>Easter - EA</v>
      </c>
      <c r="G6" s="14" t="s">
        <v>75</v>
      </c>
      <c r="H6" s="25" t="s">
        <v>76</v>
      </c>
      <c r="I6" s="18"/>
      <c r="J6" s="32" t="s">
        <v>77</v>
      </c>
      <c r="K6" s="34" t="s">
        <v>78</v>
      </c>
      <c r="L6" s="18"/>
      <c r="M6" s="39" t="s">
        <v>79</v>
      </c>
      <c r="N6" s="34" t="s">
        <v>80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 spans="1:29" s="6" customFormat="1" x14ac:dyDescent="0.25">
      <c r="A7" t="s">
        <v>38</v>
      </c>
      <c r="B7" t="s">
        <v>39</v>
      </c>
      <c r="C7" t="s">
        <v>83</v>
      </c>
      <c r="D7"/>
      <c r="E7" s="3"/>
      <c r="F7" s="23" t="str">
        <f t="shared" si="0"/>
        <v>Fall - FL</v>
      </c>
      <c r="G7" s="14" t="s">
        <v>84</v>
      </c>
      <c r="H7" s="25" t="s">
        <v>85</v>
      </c>
      <c r="I7" s="18"/>
      <c r="J7" s="32" t="s">
        <v>86</v>
      </c>
      <c r="K7" s="34" t="s">
        <v>87</v>
      </c>
      <c r="L7" s="18"/>
      <c r="M7" s="39" t="s">
        <v>88</v>
      </c>
      <c r="N7" s="34" t="s">
        <v>89</v>
      </c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1:29" s="6" customFormat="1" x14ac:dyDescent="0.25">
      <c r="A8" t="s">
        <v>38</v>
      </c>
      <c r="B8" t="s">
        <v>90</v>
      </c>
      <c r="C8" t="s">
        <v>91</v>
      </c>
      <c r="D8"/>
      <c r="E8" s="3"/>
      <c r="F8" s="23" t="str">
        <f t="shared" si="0"/>
        <v>Halloween - HAL</v>
      </c>
      <c r="G8" s="14" t="s">
        <v>92</v>
      </c>
      <c r="H8" s="25" t="s">
        <v>93</v>
      </c>
      <c r="I8" s="18"/>
      <c r="J8" s="33" t="s">
        <v>94</v>
      </c>
      <c r="K8" s="35" t="s">
        <v>95</v>
      </c>
      <c r="L8" s="18"/>
      <c r="M8" s="39" t="s">
        <v>96</v>
      </c>
      <c r="N8" s="34" t="s">
        <v>97</v>
      </c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1:29" s="6" customFormat="1" x14ac:dyDescent="0.25">
      <c r="A9" t="s">
        <v>38</v>
      </c>
      <c r="B9" t="s">
        <v>90</v>
      </c>
      <c r="C9" t="s">
        <v>40</v>
      </c>
      <c r="D9"/>
      <c r="E9" s="3"/>
      <c r="F9" s="23" t="str">
        <f t="shared" si="0"/>
        <v>4th of July - JULY4</v>
      </c>
      <c r="G9" s="15" t="s">
        <v>98</v>
      </c>
      <c r="H9" s="26" t="s">
        <v>99</v>
      </c>
      <c r="I9" s="20"/>
      <c r="J9" s="32" t="s">
        <v>100</v>
      </c>
      <c r="K9" s="34" t="s">
        <v>101</v>
      </c>
      <c r="L9" s="20"/>
      <c r="M9" s="39" t="s">
        <v>102</v>
      </c>
      <c r="N9" s="34" t="s">
        <v>103</v>
      </c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1:29" s="6" customFormat="1" x14ac:dyDescent="0.25">
      <c r="A10" t="s">
        <v>38</v>
      </c>
      <c r="B10" t="s">
        <v>90</v>
      </c>
      <c r="C10" t="s">
        <v>49</v>
      </c>
      <c r="D10"/>
      <c r="E10" s="3"/>
      <c r="F10" s="23" t="str">
        <f t="shared" si="0"/>
        <v>Mothers Day - MOM</v>
      </c>
      <c r="G10" s="14" t="s">
        <v>104</v>
      </c>
      <c r="H10" s="27" t="s">
        <v>105</v>
      </c>
      <c r="I10" s="21"/>
      <c r="J10" s="32" t="s">
        <v>106</v>
      </c>
      <c r="K10" s="34" t="s">
        <v>107</v>
      </c>
      <c r="L10" s="21"/>
      <c r="M10" s="52" t="s">
        <v>592</v>
      </c>
      <c r="N10" s="53" t="s">
        <v>108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9" s="6" customFormat="1" x14ac:dyDescent="0.25">
      <c r="A11" t="s">
        <v>38</v>
      </c>
      <c r="B11" t="s">
        <v>90</v>
      </c>
      <c r="C11" t="s">
        <v>109</v>
      </c>
      <c r="D11"/>
      <c r="E11" s="3"/>
      <c r="F11" s="23" t="str">
        <f t="shared" si="0"/>
        <v>Back to School - SCHL</v>
      </c>
      <c r="G11" s="14" t="s">
        <v>110</v>
      </c>
      <c r="H11" s="27" t="s">
        <v>111</v>
      </c>
      <c r="I11" s="21"/>
      <c r="J11" s="32" t="s">
        <v>112</v>
      </c>
      <c r="K11" s="34" t="s">
        <v>113</v>
      </c>
      <c r="L11" s="21"/>
      <c r="M11" s="39" t="s">
        <v>594</v>
      </c>
      <c r="N11" s="34" t="s">
        <v>593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9" s="6" customFormat="1" x14ac:dyDescent="0.25">
      <c r="A12" t="s">
        <v>38</v>
      </c>
      <c r="B12" t="s">
        <v>90</v>
      </c>
      <c r="C12" t="s">
        <v>114</v>
      </c>
      <c r="D12"/>
      <c r="E12" s="3"/>
      <c r="F12" s="23" t="str">
        <f t="shared" si="0"/>
        <v>Spring - SP</v>
      </c>
      <c r="G12" s="14" t="s">
        <v>115</v>
      </c>
      <c r="H12" s="27" t="s">
        <v>116</v>
      </c>
      <c r="I12" s="21"/>
      <c r="J12" s="32" t="s">
        <v>117</v>
      </c>
      <c r="K12" s="34" t="s">
        <v>118</v>
      </c>
      <c r="L12" s="21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9" s="6" customFormat="1" x14ac:dyDescent="0.25">
      <c r="A13" t="s">
        <v>38</v>
      </c>
      <c r="B13" t="s">
        <v>90</v>
      </c>
      <c r="C13" t="s">
        <v>58</v>
      </c>
      <c r="D13"/>
      <c r="E13" s="3"/>
      <c r="F13" s="23" t="str">
        <f t="shared" si="0"/>
        <v>St Patricks Day - ST</v>
      </c>
      <c r="G13" s="14" t="s">
        <v>119</v>
      </c>
      <c r="H13" s="27" t="s">
        <v>120</v>
      </c>
      <c r="I13" s="21"/>
      <c r="J13" s="32" t="s">
        <v>121</v>
      </c>
      <c r="K13" s="34" t="s">
        <v>122</v>
      </c>
      <c r="L13" s="21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9" s="6" customFormat="1" x14ac:dyDescent="0.25">
      <c r="A14" t="s">
        <v>38</v>
      </c>
      <c r="B14" t="s">
        <v>90</v>
      </c>
      <c r="C14" t="s">
        <v>67</v>
      </c>
      <c r="D14"/>
      <c r="E14" s="3"/>
      <c r="F14" s="23" t="str">
        <f t="shared" si="0"/>
        <v>Summer - SU</v>
      </c>
      <c r="G14" s="14" t="s">
        <v>123</v>
      </c>
      <c r="H14" s="27" t="s">
        <v>124</v>
      </c>
      <c r="I14" s="21"/>
      <c r="J14" s="33" t="s">
        <v>125</v>
      </c>
      <c r="K14" s="35" t="s">
        <v>126</v>
      </c>
      <c r="L14" s="21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9" x14ac:dyDescent="0.25">
      <c r="A15" t="s">
        <v>38</v>
      </c>
      <c r="B15" t="s">
        <v>90</v>
      </c>
      <c r="C15" t="s">
        <v>127</v>
      </c>
      <c r="D15"/>
      <c r="E15" s="3"/>
      <c r="F15" s="23" t="str">
        <f t="shared" si="0"/>
        <v>Thanksgiving - THANK</v>
      </c>
      <c r="G15" s="14" t="s">
        <v>128</v>
      </c>
      <c r="H15" s="27" t="s">
        <v>129</v>
      </c>
      <c r="I15" s="21"/>
      <c r="J15" s="37" t="s">
        <v>130</v>
      </c>
      <c r="K15" s="38" t="s">
        <v>131</v>
      </c>
      <c r="L15" s="21"/>
    </row>
    <row r="16" spans="1:29" x14ac:dyDescent="0.25">
      <c r="A16" t="s">
        <v>38</v>
      </c>
      <c r="B16" t="s">
        <v>90</v>
      </c>
      <c r="C16" t="s">
        <v>74</v>
      </c>
      <c r="D16"/>
      <c r="E16" s="3"/>
      <c r="F16" s="23" t="str">
        <f t="shared" si="0"/>
        <v>Transitional - TRAN</v>
      </c>
      <c r="G16" s="14" t="s">
        <v>132</v>
      </c>
      <c r="H16" s="27" t="s">
        <v>133</v>
      </c>
      <c r="I16" s="21"/>
      <c r="J16" s="21"/>
      <c r="K16"/>
    </row>
    <row r="17" spans="1:11" x14ac:dyDescent="0.25">
      <c r="A17" t="s">
        <v>38</v>
      </c>
      <c r="B17" t="s">
        <v>90</v>
      </c>
      <c r="C17" t="s">
        <v>83</v>
      </c>
      <c r="D17"/>
      <c r="E17" s="3"/>
      <c r="F17" s="23" t="str">
        <f t="shared" si="0"/>
        <v>Valentines Day - VA</v>
      </c>
      <c r="G17" s="14" t="s">
        <v>134</v>
      </c>
      <c r="H17" s="27" t="s">
        <v>135</v>
      </c>
      <c r="I17" s="21"/>
      <c r="J17" s="21"/>
      <c r="K17"/>
    </row>
    <row r="18" spans="1:11" x14ac:dyDescent="0.25">
      <c r="A18" t="s">
        <v>38</v>
      </c>
      <c r="B18" t="s">
        <v>136</v>
      </c>
      <c r="C18" t="s">
        <v>91</v>
      </c>
      <c r="D18"/>
      <c r="E18" s="3"/>
      <c r="F18" s="29" t="str">
        <f t="shared" si="0"/>
        <v>Winter - WI</v>
      </c>
      <c r="G18" s="30" t="s">
        <v>137</v>
      </c>
      <c r="H18" s="31" t="s">
        <v>138</v>
      </c>
      <c r="I18" s="22"/>
      <c r="J18" s="22"/>
      <c r="K18"/>
    </row>
    <row r="19" spans="1:11" x14ac:dyDescent="0.25">
      <c r="A19" t="s">
        <v>38</v>
      </c>
      <c r="B19" t="s">
        <v>136</v>
      </c>
      <c r="C19" t="s">
        <v>40</v>
      </c>
      <c r="D19"/>
      <c r="E19" s="3"/>
      <c r="K19"/>
    </row>
    <row r="20" spans="1:11" x14ac:dyDescent="0.25">
      <c r="A20" t="s">
        <v>38</v>
      </c>
      <c r="B20" t="s">
        <v>136</v>
      </c>
      <c r="C20" t="s">
        <v>49</v>
      </c>
      <c r="D20"/>
      <c r="E20" s="3"/>
      <c r="I20" s="4"/>
      <c r="J20" s="4"/>
      <c r="K20"/>
    </row>
    <row r="21" spans="1:11" x14ac:dyDescent="0.25">
      <c r="A21" t="s">
        <v>38</v>
      </c>
      <c r="B21" t="s">
        <v>136</v>
      </c>
      <c r="C21" t="s">
        <v>109</v>
      </c>
      <c r="D21"/>
      <c r="E21" s="3"/>
      <c r="I21" s="5"/>
      <c r="J21" s="5"/>
      <c r="K21"/>
    </row>
    <row r="22" spans="1:11" x14ac:dyDescent="0.25">
      <c r="A22" t="s">
        <v>38</v>
      </c>
      <c r="B22" t="s">
        <v>136</v>
      </c>
      <c r="C22" t="s">
        <v>114</v>
      </c>
      <c r="D22"/>
      <c r="E22" s="3"/>
      <c r="I22" s="5"/>
      <c r="J22" s="5"/>
      <c r="K22"/>
    </row>
    <row r="23" spans="1:11" x14ac:dyDescent="0.25">
      <c r="A23" t="s">
        <v>38</v>
      </c>
      <c r="B23" t="s">
        <v>136</v>
      </c>
      <c r="C23" t="s">
        <v>58</v>
      </c>
      <c r="D23"/>
      <c r="E23" s="3"/>
      <c r="I23" s="5"/>
      <c r="J23" s="5"/>
      <c r="K23"/>
    </row>
    <row r="24" spans="1:11" x14ac:dyDescent="0.25">
      <c r="A24" t="s">
        <v>38</v>
      </c>
      <c r="B24" t="s">
        <v>136</v>
      </c>
      <c r="C24" t="s">
        <v>67</v>
      </c>
      <c r="D24"/>
      <c r="E24" s="3"/>
      <c r="I24" s="5"/>
      <c r="J24" s="5"/>
      <c r="K24"/>
    </row>
    <row r="25" spans="1:11" x14ac:dyDescent="0.25">
      <c r="A25" t="s">
        <v>38</v>
      </c>
      <c r="B25" t="s">
        <v>136</v>
      </c>
      <c r="C25" t="s">
        <v>127</v>
      </c>
      <c r="D25"/>
      <c r="E25" s="3"/>
      <c r="I25" s="5"/>
      <c r="J25" s="5"/>
      <c r="K25"/>
    </row>
    <row r="26" spans="1:11" x14ac:dyDescent="0.25">
      <c r="A26" t="s">
        <v>38</v>
      </c>
      <c r="B26" t="s">
        <v>136</v>
      </c>
      <c r="C26" t="s">
        <v>74</v>
      </c>
      <c r="D26"/>
      <c r="E26" s="3"/>
      <c r="I26" s="5"/>
      <c r="J26" s="5"/>
      <c r="K26"/>
    </row>
    <row r="27" spans="1:11" x14ac:dyDescent="0.25">
      <c r="A27" t="s">
        <v>38</v>
      </c>
      <c r="B27" t="s">
        <v>136</v>
      </c>
      <c r="C27" t="s">
        <v>83</v>
      </c>
      <c r="D27"/>
      <c r="E27" s="3"/>
      <c r="I27" s="11"/>
      <c r="J27" s="11"/>
      <c r="K27"/>
    </row>
    <row r="28" spans="1:11" x14ac:dyDescent="0.25">
      <c r="A28" t="s">
        <v>38</v>
      </c>
      <c r="B28" t="s">
        <v>139</v>
      </c>
      <c r="D28"/>
      <c r="E28" s="3"/>
      <c r="I28" s="5"/>
      <c r="J28" s="5"/>
      <c r="K28"/>
    </row>
    <row r="29" spans="1:11" x14ac:dyDescent="0.25">
      <c r="A29" t="s">
        <v>38</v>
      </c>
      <c r="B29" t="s">
        <v>140</v>
      </c>
      <c r="C29" t="s">
        <v>141</v>
      </c>
      <c r="D29"/>
      <c r="E29" s="3"/>
      <c r="I29" s="5"/>
      <c r="J29" s="5"/>
      <c r="K29"/>
    </row>
    <row r="30" spans="1:11" x14ac:dyDescent="0.25">
      <c r="A30" t="s">
        <v>38</v>
      </c>
      <c r="B30" t="s">
        <v>140</v>
      </c>
      <c r="C30" t="s">
        <v>142</v>
      </c>
      <c r="D30"/>
      <c r="E30" s="3"/>
      <c r="I30" s="5"/>
      <c r="J30" s="5"/>
      <c r="K30"/>
    </row>
    <row r="31" spans="1:11" x14ac:dyDescent="0.25">
      <c r="A31" t="s">
        <v>38</v>
      </c>
      <c r="B31" t="s">
        <v>143</v>
      </c>
      <c r="C31" t="s">
        <v>40</v>
      </c>
      <c r="D31"/>
      <c r="E31" s="3"/>
      <c r="I31" s="5"/>
      <c r="J31" s="5"/>
      <c r="K31"/>
    </row>
    <row r="32" spans="1:11" x14ac:dyDescent="0.25">
      <c r="A32" t="s">
        <v>38</v>
      </c>
      <c r="B32" t="s">
        <v>143</v>
      </c>
      <c r="C32" t="s">
        <v>144</v>
      </c>
      <c r="D32"/>
      <c r="E32" s="3"/>
      <c r="I32" s="5"/>
      <c r="J32" s="5"/>
      <c r="K32"/>
    </row>
    <row r="33" spans="1:18" x14ac:dyDescent="0.25">
      <c r="A33" t="s">
        <v>38</v>
      </c>
      <c r="B33" t="s">
        <v>143</v>
      </c>
      <c r="C33" t="s">
        <v>49</v>
      </c>
      <c r="D33"/>
      <c r="E33" s="3"/>
      <c r="I33" s="11"/>
      <c r="J33" s="11"/>
      <c r="K33"/>
    </row>
    <row r="34" spans="1:18" x14ac:dyDescent="0.25">
      <c r="A34" t="s">
        <v>38</v>
      </c>
      <c r="B34" t="s">
        <v>143</v>
      </c>
      <c r="C34" t="s">
        <v>109</v>
      </c>
      <c r="D34"/>
      <c r="E34" s="3"/>
      <c r="I34" s="11"/>
      <c r="J34" s="11"/>
      <c r="K34"/>
      <c r="P34" s="11"/>
      <c r="Q34" s="11"/>
    </row>
    <row r="35" spans="1:18" x14ac:dyDescent="0.25">
      <c r="A35" t="s">
        <v>38</v>
      </c>
      <c r="B35" t="s">
        <v>143</v>
      </c>
      <c r="C35" t="s">
        <v>114</v>
      </c>
      <c r="D35"/>
      <c r="E35" s="3"/>
      <c r="K35"/>
      <c r="P35" s="5"/>
      <c r="Q35" s="5"/>
    </row>
    <row r="36" spans="1:18" x14ac:dyDescent="0.25">
      <c r="A36" t="s">
        <v>38</v>
      </c>
      <c r="B36" t="s">
        <v>143</v>
      </c>
      <c r="C36" t="s">
        <v>58</v>
      </c>
      <c r="D36"/>
      <c r="E36" s="3"/>
      <c r="K36"/>
      <c r="P36" s="5"/>
      <c r="Q36" s="5"/>
    </row>
    <row r="37" spans="1:18" x14ac:dyDescent="0.25">
      <c r="A37" t="s">
        <v>38</v>
      </c>
      <c r="B37" t="s">
        <v>143</v>
      </c>
      <c r="C37" t="s">
        <v>67</v>
      </c>
      <c r="D37"/>
      <c r="E37" s="3"/>
      <c r="K37"/>
      <c r="P37" s="5"/>
      <c r="Q37" s="5"/>
    </row>
    <row r="38" spans="1:18" x14ac:dyDescent="0.25">
      <c r="A38" t="s">
        <v>38</v>
      </c>
      <c r="B38" t="s">
        <v>143</v>
      </c>
      <c r="C38" t="s">
        <v>127</v>
      </c>
      <c r="D38"/>
      <c r="E38" s="3"/>
      <c r="K38"/>
      <c r="P38" s="5"/>
      <c r="Q38" s="5"/>
    </row>
    <row r="39" spans="1:18" x14ac:dyDescent="0.25">
      <c r="A39" t="s">
        <v>38</v>
      </c>
      <c r="B39" t="s">
        <v>143</v>
      </c>
      <c r="C39" t="s">
        <v>74</v>
      </c>
      <c r="D39"/>
      <c r="E39" s="3"/>
      <c r="K39"/>
      <c r="P39" s="5"/>
      <c r="Q39" s="5"/>
    </row>
    <row r="40" spans="1:18" x14ac:dyDescent="0.25">
      <c r="A40" t="s">
        <v>38</v>
      </c>
      <c r="B40" t="s">
        <v>143</v>
      </c>
      <c r="C40" t="s">
        <v>83</v>
      </c>
      <c r="D40"/>
      <c r="E40" s="3"/>
      <c r="F40" s="1"/>
      <c r="G40" s="1"/>
      <c r="H40" s="1"/>
      <c r="I40" s="1"/>
      <c r="J40" s="1"/>
      <c r="K40"/>
      <c r="M40" s="11"/>
      <c r="N40" s="11"/>
      <c r="P40" s="5"/>
      <c r="Q40" s="5"/>
      <c r="R40" s="11"/>
    </row>
    <row r="41" spans="1:18" s="11" customFormat="1" x14ac:dyDescent="0.25">
      <c r="A41" t="s">
        <v>38</v>
      </c>
      <c r="B41" t="s">
        <v>145</v>
      </c>
      <c r="C41"/>
      <c r="D41"/>
      <c r="E41" s="3"/>
      <c r="F41"/>
      <c r="G41"/>
      <c r="H41"/>
      <c r="I41"/>
      <c r="J41"/>
      <c r="K41" s="1"/>
      <c r="M41" s="5"/>
      <c r="N41" s="5"/>
      <c r="P41" s="5"/>
      <c r="Q41" s="5"/>
      <c r="R41" s="5"/>
    </row>
    <row r="42" spans="1:18" s="5" customFormat="1" x14ac:dyDescent="0.25">
      <c r="A42" t="s">
        <v>38</v>
      </c>
      <c r="B42" t="s">
        <v>146</v>
      </c>
      <c r="C42"/>
      <c r="D42"/>
      <c r="E42" s="3"/>
      <c r="F42"/>
      <c r="G42"/>
      <c r="H42"/>
      <c r="I42"/>
      <c r="J42"/>
      <c r="K42"/>
    </row>
    <row r="43" spans="1:18" s="5" customFormat="1" x14ac:dyDescent="0.25">
      <c r="A43" t="s">
        <v>38</v>
      </c>
      <c r="B43" t="s">
        <v>147</v>
      </c>
      <c r="C43" t="s">
        <v>148</v>
      </c>
      <c r="D43"/>
      <c r="E43" s="3"/>
      <c r="F43"/>
      <c r="G43"/>
      <c r="H43"/>
      <c r="I43"/>
      <c r="J43"/>
      <c r="K43"/>
    </row>
    <row r="44" spans="1:18" s="5" customFormat="1" x14ac:dyDescent="0.25">
      <c r="A44" t="s">
        <v>38</v>
      </c>
      <c r="B44" t="s">
        <v>147</v>
      </c>
      <c r="C44" t="s">
        <v>40</v>
      </c>
      <c r="D44"/>
      <c r="E44" s="3"/>
      <c r="G44"/>
      <c r="H44"/>
      <c r="I44"/>
      <c r="J44"/>
      <c r="K44"/>
    </row>
    <row r="45" spans="1:18" s="5" customFormat="1" x14ac:dyDescent="0.25">
      <c r="A45" t="s">
        <v>38</v>
      </c>
      <c r="B45" t="s">
        <v>147</v>
      </c>
      <c r="C45" t="s">
        <v>149</v>
      </c>
      <c r="D45"/>
      <c r="E45" s="3"/>
      <c r="F45"/>
      <c r="G45"/>
      <c r="H45"/>
      <c r="I45"/>
      <c r="J45"/>
    </row>
    <row r="46" spans="1:18" s="5" customFormat="1" x14ac:dyDescent="0.25">
      <c r="A46" t="s">
        <v>38</v>
      </c>
      <c r="B46" t="s">
        <v>147</v>
      </c>
      <c r="C46" t="s">
        <v>149</v>
      </c>
      <c r="D46"/>
      <c r="E46" s="3"/>
      <c r="F46"/>
      <c r="G46"/>
      <c r="H46"/>
      <c r="I46"/>
      <c r="J46"/>
      <c r="K46"/>
    </row>
    <row r="47" spans="1:18" s="5" customFormat="1" x14ac:dyDescent="0.25">
      <c r="A47" t="s">
        <v>38</v>
      </c>
      <c r="B47" t="s">
        <v>147</v>
      </c>
      <c r="C47" t="s">
        <v>144</v>
      </c>
      <c r="D47"/>
      <c r="E47" s="3"/>
      <c r="K47"/>
    </row>
    <row r="48" spans="1:18" s="5" customFormat="1" x14ac:dyDescent="0.25">
      <c r="A48" t="s">
        <v>38</v>
      </c>
      <c r="B48" t="s">
        <v>147</v>
      </c>
      <c r="C48" t="s">
        <v>49</v>
      </c>
      <c r="D48"/>
      <c r="E48" s="3"/>
      <c r="F48"/>
      <c r="G48"/>
      <c r="H48"/>
      <c r="I48"/>
      <c r="J48"/>
      <c r="K48"/>
    </row>
    <row r="49" spans="1:17" s="5" customFormat="1" x14ac:dyDescent="0.25">
      <c r="A49" t="s">
        <v>38</v>
      </c>
      <c r="B49" t="s">
        <v>147</v>
      </c>
      <c r="C49" t="s">
        <v>109</v>
      </c>
      <c r="D49"/>
      <c r="E49" s="3"/>
      <c r="K49"/>
    </row>
    <row r="50" spans="1:17" s="5" customFormat="1" x14ac:dyDescent="0.25">
      <c r="A50" t="s">
        <v>38</v>
      </c>
      <c r="B50" t="s">
        <v>147</v>
      </c>
      <c r="C50" t="s">
        <v>114</v>
      </c>
      <c r="D50"/>
      <c r="E50" s="3"/>
      <c r="K50"/>
    </row>
    <row r="51" spans="1:17" s="5" customFormat="1" x14ac:dyDescent="0.25">
      <c r="A51" t="s">
        <v>38</v>
      </c>
      <c r="B51" t="s">
        <v>147</v>
      </c>
      <c r="C51" t="s">
        <v>150</v>
      </c>
      <c r="D51"/>
      <c r="E51" s="3"/>
      <c r="H51"/>
      <c r="I51"/>
      <c r="J51"/>
      <c r="K51"/>
    </row>
    <row r="52" spans="1:17" s="5" customFormat="1" x14ac:dyDescent="0.25">
      <c r="A52" t="s">
        <v>38</v>
      </c>
      <c r="B52" t="s">
        <v>147</v>
      </c>
      <c r="C52" t="s">
        <v>150</v>
      </c>
      <c r="D52"/>
      <c r="E52" s="3"/>
      <c r="G52"/>
      <c r="H52"/>
      <c r="I52"/>
      <c r="J52"/>
      <c r="K52"/>
    </row>
    <row r="53" spans="1:17" s="5" customFormat="1" x14ac:dyDescent="0.25">
      <c r="A53" t="s">
        <v>38</v>
      </c>
      <c r="B53" t="s">
        <v>147</v>
      </c>
      <c r="C53" t="s">
        <v>58</v>
      </c>
      <c r="D53"/>
      <c r="E53" s="3"/>
      <c r="F53"/>
      <c r="G53"/>
      <c r="H53"/>
      <c r="I53"/>
      <c r="J53"/>
      <c r="K53"/>
    </row>
    <row r="54" spans="1:17" s="5" customFormat="1" x14ac:dyDescent="0.25">
      <c r="A54" t="s">
        <v>38</v>
      </c>
      <c r="B54" t="s">
        <v>147</v>
      </c>
      <c r="C54" t="s">
        <v>67</v>
      </c>
      <c r="D54"/>
      <c r="E54" s="3"/>
      <c r="F54"/>
      <c r="G54"/>
      <c r="H54"/>
      <c r="I54"/>
      <c r="J54"/>
      <c r="K54"/>
    </row>
    <row r="55" spans="1:17" s="5" customFormat="1" x14ac:dyDescent="0.25">
      <c r="A55" t="s">
        <v>38</v>
      </c>
      <c r="B55" t="s">
        <v>147</v>
      </c>
      <c r="C55" t="s">
        <v>127</v>
      </c>
      <c r="D55"/>
      <c r="E55" s="3"/>
      <c r="H55"/>
      <c r="I55"/>
      <c r="J55"/>
      <c r="K55"/>
    </row>
    <row r="56" spans="1:17" s="5" customFormat="1" x14ac:dyDescent="0.25">
      <c r="A56" t="s">
        <v>38</v>
      </c>
      <c r="B56" t="s">
        <v>147</v>
      </c>
      <c r="C56" t="s">
        <v>74</v>
      </c>
      <c r="D56"/>
      <c r="E56" s="3"/>
      <c r="H56"/>
      <c r="I56"/>
      <c r="J56"/>
      <c r="K56"/>
    </row>
    <row r="57" spans="1:17" s="5" customFormat="1" x14ac:dyDescent="0.25">
      <c r="A57" t="s">
        <v>38</v>
      </c>
      <c r="B57" t="s">
        <v>147</v>
      </c>
      <c r="C57" t="s">
        <v>83</v>
      </c>
      <c r="D57"/>
      <c r="E57" s="3"/>
      <c r="F57"/>
      <c r="G57"/>
      <c r="H57"/>
      <c r="I57"/>
      <c r="J57"/>
    </row>
    <row r="58" spans="1:17" s="5" customFormat="1" x14ac:dyDescent="0.25">
      <c r="A58" t="s">
        <v>151</v>
      </c>
      <c r="B58" t="s">
        <v>152</v>
      </c>
      <c r="C58" s="7" t="s">
        <v>153</v>
      </c>
      <c r="D58" s="7"/>
      <c r="E58" s="3"/>
      <c r="F58"/>
      <c r="G58"/>
      <c r="H58"/>
      <c r="I58"/>
      <c r="J58"/>
    </row>
    <row r="59" spans="1:17" s="5" customFormat="1" x14ac:dyDescent="0.25">
      <c r="A59" t="s">
        <v>151</v>
      </c>
      <c r="B59" t="s">
        <v>152</v>
      </c>
      <c r="C59" s="7" t="s">
        <v>154</v>
      </c>
      <c r="D59" s="7"/>
      <c r="E59" s="3"/>
      <c r="F59"/>
      <c r="G59"/>
      <c r="H59"/>
      <c r="I59"/>
      <c r="J59"/>
      <c r="K59"/>
      <c r="P59"/>
      <c r="Q59"/>
    </row>
    <row r="60" spans="1:17" s="5" customFormat="1" x14ac:dyDescent="0.25">
      <c r="A60" t="s">
        <v>151</v>
      </c>
      <c r="B60" t="s">
        <v>152</v>
      </c>
      <c r="C60" t="s">
        <v>155</v>
      </c>
      <c r="D60"/>
      <c r="E60" s="3"/>
      <c r="F60"/>
      <c r="G60"/>
      <c r="H60"/>
      <c r="I60"/>
      <c r="J60"/>
      <c r="K60"/>
    </row>
    <row r="61" spans="1:17" s="5" customFormat="1" x14ac:dyDescent="0.25">
      <c r="A61" t="s">
        <v>151</v>
      </c>
      <c r="B61" t="s">
        <v>152</v>
      </c>
      <c r="C61" s="7" t="s">
        <v>156</v>
      </c>
      <c r="D61" s="7"/>
      <c r="E61" s="3"/>
      <c r="F61"/>
      <c r="G61"/>
      <c r="H61"/>
      <c r="I61"/>
      <c r="J61"/>
      <c r="K61"/>
    </row>
    <row r="62" spans="1:17" s="5" customFormat="1" x14ac:dyDescent="0.25">
      <c r="A62" t="s">
        <v>151</v>
      </c>
      <c r="B62" t="s">
        <v>152</v>
      </c>
      <c r="C62" s="7" t="s">
        <v>157</v>
      </c>
      <c r="D62" s="7"/>
      <c r="E62" s="3"/>
      <c r="F62"/>
      <c r="G62"/>
      <c r="H62"/>
      <c r="I62"/>
      <c r="J62"/>
      <c r="K62"/>
    </row>
    <row r="63" spans="1:17" s="5" customFormat="1" x14ac:dyDescent="0.25">
      <c r="A63" t="s">
        <v>151</v>
      </c>
      <c r="B63" s="9" t="s">
        <v>158</v>
      </c>
      <c r="C63"/>
      <c r="D63"/>
      <c r="E63" s="3"/>
      <c r="F63"/>
      <c r="G63"/>
      <c r="H63"/>
      <c r="I63"/>
      <c r="J63"/>
      <c r="K63"/>
    </row>
    <row r="64" spans="1:17" s="5" customFormat="1" x14ac:dyDescent="0.25">
      <c r="A64" t="s">
        <v>151</v>
      </c>
      <c r="B64" s="16" t="s">
        <v>159</v>
      </c>
      <c r="C64"/>
      <c r="D64"/>
      <c r="E64" s="3"/>
      <c r="K64"/>
    </row>
    <row r="65" spans="1:18" s="5" customFormat="1" x14ac:dyDescent="0.25">
      <c r="A65" t="s">
        <v>151</v>
      </c>
      <c r="B65" s="9" t="s">
        <v>160</v>
      </c>
      <c r="C65"/>
      <c r="D65"/>
      <c r="E65" s="3"/>
      <c r="H65"/>
      <c r="I65"/>
      <c r="J65"/>
      <c r="K65"/>
      <c r="M65"/>
      <c r="N65"/>
      <c r="R65"/>
    </row>
    <row r="66" spans="1:18" x14ac:dyDescent="0.25">
      <c r="A66" t="s">
        <v>151</v>
      </c>
      <c r="B66" s="9" t="s">
        <v>161</v>
      </c>
      <c r="C66" s="1"/>
      <c r="D66" s="1"/>
      <c r="E66" s="10"/>
      <c r="K66"/>
      <c r="M66" s="5"/>
      <c r="N66" s="5"/>
      <c r="P66" s="5"/>
      <c r="Q66" s="5"/>
      <c r="R66" s="5"/>
    </row>
    <row r="67" spans="1:18" s="5" customFormat="1" x14ac:dyDescent="0.25">
      <c r="A67" t="s">
        <v>162</v>
      </c>
      <c r="B67" s="9" t="s">
        <v>163</v>
      </c>
      <c r="C67" t="s">
        <v>164</v>
      </c>
      <c r="D67"/>
      <c r="E67"/>
      <c r="G67"/>
      <c r="H67"/>
      <c r="I67"/>
      <c r="J67"/>
      <c r="K67"/>
    </row>
    <row r="68" spans="1:18" s="5" customFormat="1" x14ac:dyDescent="0.25">
      <c r="A68" t="s">
        <v>162</v>
      </c>
      <c r="B68" s="9" t="s">
        <v>163</v>
      </c>
      <c r="C68" t="s">
        <v>165</v>
      </c>
      <c r="D68"/>
      <c r="E68"/>
      <c r="F68"/>
      <c r="G68"/>
      <c r="H68"/>
      <c r="I68"/>
      <c r="J68"/>
      <c r="K68"/>
    </row>
    <row r="69" spans="1:18" s="5" customFormat="1" x14ac:dyDescent="0.25">
      <c r="A69" t="s">
        <v>162</v>
      </c>
      <c r="B69" t="s">
        <v>166</v>
      </c>
      <c r="C69"/>
      <c r="D69"/>
      <c r="E69"/>
      <c r="F69"/>
      <c r="G69"/>
      <c r="H69"/>
      <c r="I69"/>
      <c r="J69"/>
      <c r="K69"/>
    </row>
    <row r="70" spans="1:18" s="5" customFormat="1" x14ac:dyDescent="0.25">
      <c r="A70" t="s">
        <v>162</v>
      </c>
      <c r="B70" t="s">
        <v>167</v>
      </c>
      <c r="C70"/>
      <c r="D70"/>
      <c r="E70"/>
      <c r="F70"/>
      <c r="G70"/>
      <c r="H70"/>
      <c r="I70"/>
      <c r="J70"/>
    </row>
    <row r="71" spans="1:18" s="5" customFormat="1" x14ac:dyDescent="0.25">
      <c r="A71" t="s">
        <v>162</v>
      </c>
      <c r="B71" t="s">
        <v>168</v>
      </c>
      <c r="C71" t="s">
        <v>169</v>
      </c>
      <c r="D71"/>
      <c r="E71"/>
      <c r="F71"/>
      <c r="G71"/>
      <c r="H71"/>
      <c r="I71"/>
      <c r="J71"/>
      <c r="K71"/>
    </row>
    <row r="72" spans="1:18" s="5" customFormat="1" x14ac:dyDescent="0.25">
      <c r="A72" t="s">
        <v>162</v>
      </c>
      <c r="B72" t="s">
        <v>168</v>
      </c>
      <c r="C72" t="s">
        <v>170</v>
      </c>
      <c r="D72"/>
      <c r="E72"/>
      <c r="K72"/>
    </row>
    <row r="73" spans="1:18" s="5" customFormat="1" x14ac:dyDescent="0.25">
      <c r="A73" t="s">
        <v>162</v>
      </c>
      <c r="B73" t="s">
        <v>171</v>
      </c>
      <c r="C73" s="1" t="s">
        <v>172</v>
      </c>
      <c r="D73" s="1"/>
      <c r="E73"/>
      <c r="K73"/>
    </row>
    <row r="74" spans="1:18" s="5" customFormat="1" x14ac:dyDescent="0.25">
      <c r="A74" t="s">
        <v>162</v>
      </c>
      <c r="B74" t="s">
        <v>173</v>
      </c>
      <c r="C74"/>
      <c r="D74"/>
      <c r="E74"/>
      <c r="H74"/>
      <c r="I74"/>
      <c r="J74"/>
      <c r="K74"/>
    </row>
    <row r="75" spans="1:18" s="5" customFormat="1" x14ac:dyDescent="0.25">
      <c r="A75" t="s">
        <v>162</v>
      </c>
      <c r="B75" t="s">
        <v>174</v>
      </c>
      <c r="C75" t="s">
        <v>175</v>
      </c>
      <c r="D75"/>
      <c r="E75"/>
      <c r="G75"/>
      <c r="H75"/>
      <c r="I75"/>
      <c r="J75"/>
      <c r="K75"/>
    </row>
    <row r="76" spans="1:18" s="5" customFormat="1" x14ac:dyDescent="0.25">
      <c r="A76" t="s">
        <v>162</v>
      </c>
      <c r="B76" t="s">
        <v>174</v>
      </c>
      <c r="C76" t="s">
        <v>176</v>
      </c>
      <c r="D76"/>
      <c r="E76"/>
      <c r="F76"/>
      <c r="G76"/>
      <c r="H76"/>
      <c r="I76"/>
      <c r="J76"/>
      <c r="K76"/>
    </row>
    <row r="77" spans="1:18" s="5" customFormat="1" x14ac:dyDescent="0.25">
      <c r="A77" t="s">
        <v>162</v>
      </c>
      <c r="B77" t="s">
        <v>174</v>
      </c>
      <c r="C77" t="s">
        <v>177</v>
      </c>
      <c r="D77"/>
      <c r="E77"/>
      <c r="F77"/>
      <c r="G77"/>
      <c r="H77"/>
      <c r="I77"/>
      <c r="J77"/>
      <c r="K77"/>
    </row>
    <row r="78" spans="1:18" s="5" customFormat="1" x14ac:dyDescent="0.25">
      <c r="A78" t="s">
        <v>162</v>
      </c>
      <c r="B78" t="s">
        <v>174</v>
      </c>
      <c r="C78" t="s">
        <v>178</v>
      </c>
      <c r="D78"/>
      <c r="E78"/>
      <c r="K78"/>
    </row>
    <row r="79" spans="1:18" s="5" customFormat="1" x14ac:dyDescent="0.25">
      <c r="A79" t="s">
        <v>162</v>
      </c>
      <c r="B79" t="s">
        <v>174</v>
      </c>
      <c r="C79" t="s">
        <v>179</v>
      </c>
      <c r="D79"/>
      <c r="E79"/>
      <c r="K79"/>
    </row>
    <row r="80" spans="1:18" s="5" customFormat="1" x14ac:dyDescent="0.25">
      <c r="A80" t="s">
        <v>180</v>
      </c>
      <c r="B80" t="s">
        <v>181</v>
      </c>
      <c r="C80" t="s">
        <v>182</v>
      </c>
      <c r="D80"/>
      <c r="E80"/>
      <c r="H80"/>
      <c r="I80"/>
      <c r="J80"/>
      <c r="K80"/>
    </row>
    <row r="81" spans="1:11" s="5" customFormat="1" x14ac:dyDescent="0.25">
      <c r="A81" t="s">
        <v>180</v>
      </c>
      <c r="B81" t="s">
        <v>181</v>
      </c>
      <c r="C81" t="s">
        <v>183</v>
      </c>
      <c r="D81"/>
      <c r="E81" s="3"/>
      <c r="G81"/>
      <c r="H81"/>
      <c r="I81"/>
      <c r="J81"/>
      <c r="K81"/>
    </row>
    <row r="82" spans="1:11" s="5" customFormat="1" x14ac:dyDescent="0.25">
      <c r="A82" t="s">
        <v>180</v>
      </c>
      <c r="B82" t="s">
        <v>181</v>
      </c>
      <c r="C82" t="s">
        <v>184</v>
      </c>
      <c r="D82"/>
      <c r="E82" s="3"/>
      <c r="F82"/>
      <c r="G82"/>
      <c r="H82"/>
      <c r="I82"/>
      <c r="J82"/>
      <c r="K82"/>
    </row>
    <row r="83" spans="1:11" s="5" customFormat="1" x14ac:dyDescent="0.25">
      <c r="A83" t="s">
        <v>180</v>
      </c>
      <c r="B83" t="s">
        <v>181</v>
      </c>
      <c r="C83" t="s">
        <v>185</v>
      </c>
      <c r="D83"/>
      <c r="E83" s="3"/>
      <c r="F83"/>
      <c r="G83"/>
      <c r="H83"/>
      <c r="I83"/>
      <c r="J83"/>
      <c r="K83"/>
    </row>
    <row r="84" spans="1:11" s="5" customFormat="1" x14ac:dyDescent="0.25">
      <c r="A84" t="s">
        <v>180</v>
      </c>
      <c r="B84" t="s">
        <v>186</v>
      </c>
      <c r="C84"/>
      <c r="D84"/>
      <c r="E84" s="3"/>
      <c r="F84"/>
      <c r="G84"/>
      <c r="H84"/>
      <c r="I84"/>
      <c r="J84"/>
      <c r="K84"/>
    </row>
    <row r="85" spans="1:11" s="5" customFormat="1" x14ac:dyDescent="0.25">
      <c r="A85" t="s">
        <v>180</v>
      </c>
      <c r="B85" t="s">
        <v>187</v>
      </c>
      <c r="C85" t="s">
        <v>188</v>
      </c>
      <c r="D85"/>
      <c r="E85" s="3"/>
      <c r="G85"/>
      <c r="H85"/>
      <c r="I85"/>
      <c r="J85"/>
      <c r="K85"/>
    </row>
    <row r="86" spans="1:11" s="5" customFormat="1" x14ac:dyDescent="0.25">
      <c r="A86" t="s">
        <v>180</v>
      </c>
      <c r="B86" t="s">
        <v>187</v>
      </c>
      <c r="C86" t="s">
        <v>189</v>
      </c>
      <c r="D86"/>
      <c r="E86" s="3"/>
      <c r="F86"/>
      <c r="G86"/>
      <c r="H86"/>
      <c r="I86"/>
      <c r="J86"/>
      <c r="K86"/>
    </row>
    <row r="87" spans="1:11" s="5" customFormat="1" x14ac:dyDescent="0.25">
      <c r="A87" t="s">
        <v>180</v>
      </c>
      <c r="B87" t="s">
        <v>190</v>
      </c>
      <c r="C87" s="9" t="s">
        <v>191</v>
      </c>
      <c r="D87" s="9"/>
      <c r="E87" s="3"/>
      <c r="F87"/>
      <c r="G87"/>
      <c r="H87"/>
      <c r="I87"/>
      <c r="J87"/>
      <c r="K87"/>
    </row>
    <row r="88" spans="1:11" s="5" customFormat="1" x14ac:dyDescent="0.25">
      <c r="A88" s="1" t="s">
        <v>192</v>
      </c>
      <c r="B88" s="1" t="s">
        <v>193</v>
      </c>
      <c r="C88" s="1"/>
      <c r="D88" s="1"/>
      <c r="E88" s="3"/>
      <c r="F88"/>
      <c r="G88"/>
      <c r="H88"/>
      <c r="I88"/>
      <c r="J88"/>
      <c r="K88"/>
    </row>
    <row r="89" spans="1:11" s="5" customFormat="1" x14ac:dyDescent="0.25">
      <c r="A89" s="9" t="s">
        <v>194</v>
      </c>
      <c r="B89" s="9" t="s">
        <v>195</v>
      </c>
      <c r="C89" t="s">
        <v>196</v>
      </c>
      <c r="D89" s="1"/>
      <c r="E89" s="3"/>
      <c r="F89"/>
      <c r="G89"/>
      <c r="H89"/>
      <c r="I89"/>
      <c r="J89"/>
      <c r="K89"/>
    </row>
    <row r="90" spans="1:11" s="5" customFormat="1" x14ac:dyDescent="0.25">
      <c r="A90" s="9" t="s">
        <v>194</v>
      </c>
      <c r="B90" s="9" t="s">
        <v>195</v>
      </c>
      <c r="C90" t="s">
        <v>197</v>
      </c>
      <c r="D90" s="1"/>
      <c r="E90" s="3"/>
      <c r="F90"/>
      <c r="G90"/>
      <c r="H90"/>
      <c r="I90"/>
      <c r="J90"/>
      <c r="K90"/>
    </row>
    <row r="91" spans="1:11" s="5" customFormat="1" x14ac:dyDescent="0.25">
      <c r="A91" s="9" t="s">
        <v>194</v>
      </c>
      <c r="B91" s="9" t="s">
        <v>198</v>
      </c>
      <c r="C91" t="s">
        <v>199</v>
      </c>
      <c r="D91" s="1"/>
      <c r="E91" s="3"/>
      <c r="F91"/>
      <c r="G91"/>
      <c r="H91"/>
      <c r="I91"/>
      <c r="J91"/>
      <c r="K91"/>
    </row>
    <row r="92" spans="1:11" s="5" customFormat="1" x14ac:dyDescent="0.25">
      <c r="A92" s="9" t="s">
        <v>194</v>
      </c>
      <c r="B92" s="9" t="s">
        <v>198</v>
      </c>
      <c r="C92" t="s">
        <v>200</v>
      </c>
      <c r="D92" s="1"/>
      <c r="E92" s="3"/>
      <c r="F92"/>
      <c r="G92"/>
      <c r="H92"/>
      <c r="I92"/>
      <c r="J92"/>
      <c r="K92"/>
    </row>
    <row r="93" spans="1:11" s="5" customFormat="1" x14ac:dyDescent="0.25">
      <c r="A93" s="9" t="s">
        <v>194</v>
      </c>
      <c r="B93" s="9" t="s">
        <v>198</v>
      </c>
      <c r="C93" t="s">
        <v>201</v>
      </c>
      <c r="D93" s="1"/>
      <c r="E93" s="3"/>
      <c r="F93"/>
      <c r="G93"/>
      <c r="H93"/>
      <c r="I93"/>
      <c r="J93"/>
      <c r="K93"/>
    </row>
    <row r="94" spans="1:11" s="5" customFormat="1" x14ac:dyDescent="0.25">
      <c r="A94" s="9" t="s">
        <v>194</v>
      </c>
      <c r="B94" s="9" t="s">
        <v>202</v>
      </c>
      <c r="C94"/>
      <c r="D94" s="1"/>
      <c r="E94" s="3"/>
      <c r="F94"/>
      <c r="G94"/>
      <c r="H94"/>
      <c r="I94"/>
      <c r="J94"/>
      <c r="K94"/>
    </row>
    <row r="95" spans="1:11" s="5" customFormat="1" x14ac:dyDescent="0.25">
      <c r="A95" s="9" t="s">
        <v>194</v>
      </c>
      <c r="B95" s="9" t="s">
        <v>203</v>
      </c>
      <c r="C95"/>
      <c r="D95" s="1"/>
      <c r="E95" s="3"/>
      <c r="F95"/>
      <c r="G95"/>
      <c r="H95"/>
      <c r="I95"/>
      <c r="J95"/>
      <c r="K95"/>
    </row>
    <row r="96" spans="1:11" s="5" customFormat="1" x14ac:dyDescent="0.25">
      <c r="A96" s="9" t="s">
        <v>194</v>
      </c>
      <c r="B96" s="9" t="s">
        <v>204</v>
      </c>
      <c r="C96" t="s">
        <v>205</v>
      </c>
      <c r="D96" s="1"/>
      <c r="E96" s="3"/>
      <c r="F96"/>
      <c r="G96"/>
      <c r="H96"/>
      <c r="I96"/>
      <c r="J96"/>
      <c r="K96"/>
    </row>
    <row r="97" spans="1:11" s="5" customFormat="1" x14ac:dyDescent="0.25">
      <c r="A97" s="9" t="s">
        <v>194</v>
      </c>
      <c r="B97" s="9" t="s">
        <v>204</v>
      </c>
      <c r="C97" t="s">
        <v>206</v>
      </c>
      <c r="D97" s="1"/>
      <c r="E97" s="3"/>
      <c r="F97"/>
      <c r="G97"/>
      <c r="H97"/>
      <c r="I97"/>
      <c r="J97"/>
      <c r="K97"/>
    </row>
    <row r="98" spans="1:11" s="5" customFormat="1" x14ac:dyDescent="0.25">
      <c r="A98" s="9" t="s">
        <v>194</v>
      </c>
      <c r="B98" s="9" t="s">
        <v>207</v>
      </c>
      <c r="C98"/>
      <c r="D98" s="1"/>
      <c r="E98" s="3"/>
      <c r="F98"/>
      <c r="G98"/>
      <c r="H98"/>
      <c r="I98"/>
      <c r="J98"/>
      <c r="K98"/>
    </row>
    <row r="99" spans="1:11" s="5" customFormat="1" x14ac:dyDescent="0.25">
      <c r="A99" s="9" t="s">
        <v>194</v>
      </c>
      <c r="B99" s="9" t="s">
        <v>208</v>
      </c>
      <c r="C99" t="s">
        <v>209</v>
      </c>
      <c r="D99" s="1"/>
      <c r="E99" s="3"/>
      <c r="F99"/>
      <c r="G99"/>
      <c r="H99"/>
      <c r="I99"/>
      <c r="J99"/>
      <c r="K99"/>
    </row>
    <row r="100" spans="1:11" s="5" customFormat="1" x14ac:dyDescent="0.25">
      <c r="A100" s="9" t="s">
        <v>194</v>
      </c>
      <c r="B100" s="9" t="s">
        <v>208</v>
      </c>
      <c r="C100" t="s">
        <v>210</v>
      </c>
      <c r="D100" s="1"/>
      <c r="E100" s="3"/>
      <c r="F100"/>
      <c r="G100"/>
      <c r="H100"/>
      <c r="I100"/>
      <c r="J100"/>
      <c r="K100"/>
    </row>
    <row r="101" spans="1:11" s="5" customFormat="1" x14ac:dyDescent="0.25">
      <c r="A101" s="9" t="s">
        <v>194</v>
      </c>
      <c r="B101" s="9" t="s">
        <v>208</v>
      </c>
      <c r="C101" t="s">
        <v>211</v>
      </c>
      <c r="D101" s="1"/>
      <c r="E101" s="3"/>
      <c r="F101"/>
      <c r="G101"/>
      <c r="H101"/>
      <c r="I101"/>
      <c r="J101"/>
      <c r="K101"/>
    </row>
    <row r="102" spans="1:11" s="5" customFormat="1" x14ac:dyDescent="0.25">
      <c r="A102" s="9" t="s">
        <v>194</v>
      </c>
      <c r="B102" s="9" t="s">
        <v>208</v>
      </c>
      <c r="C102" t="s">
        <v>212</v>
      </c>
      <c r="D102" s="1"/>
      <c r="E102" s="3"/>
      <c r="F102"/>
      <c r="G102"/>
      <c r="H102"/>
      <c r="I102"/>
      <c r="J102"/>
      <c r="K102"/>
    </row>
    <row r="103" spans="1:11" s="5" customFormat="1" x14ac:dyDescent="0.25">
      <c r="A103" s="9" t="s">
        <v>194</v>
      </c>
      <c r="B103" s="9" t="s">
        <v>208</v>
      </c>
      <c r="C103" t="s">
        <v>213</v>
      </c>
      <c r="D103" s="1"/>
      <c r="E103" s="3"/>
      <c r="F103"/>
      <c r="G103"/>
      <c r="H103"/>
      <c r="I103"/>
      <c r="J103"/>
      <c r="K103"/>
    </row>
    <row r="104" spans="1:11" s="5" customFormat="1" x14ac:dyDescent="0.25">
      <c r="A104" s="9" t="s">
        <v>194</v>
      </c>
      <c r="B104" s="9" t="s">
        <v>208</v>
      </c>
      <c r="C104" t="s">
        <v>214</v>
      </c>
      <c r="D104" s="1"/>
      <c r="E104" s="3"/>
      <c r="F104"/>
      <c r="G104"/>
      <c r="H104"/>
      <c r="I104"/>
      <c r="J104"/>
      <c r="K104"/>
    </row>
    <row r="105" spans="1:11" s="5" customFormat="1" x14ac:dyDescent="0.25">
      <c r="A105" s="9" t="s">
        <v>194</v>
      </c>
      <c r="B105" s="9" t="s">
        <v>215</v>
      </c>
      <c r="C105"/>
      <c r="D105" s="1"/>
      <c r="E105" s="3"/>
      <c r="F105"/>
      <c r="G105"/>
      <c r="H105"/>
      <c r="I105"/>
      <c r="J105"/>
      <c r="K105"/>
    </row>
    <row r="106" spans="1:11" s="5" customFormat="1" x14ac:dyDescent="0.25">
      <c r="A106" s="9" t="s">
        <v>194</v>
      </c>
      <c r="B106" s="9" t="s">
        <v>216</v>
      </c>
      <c r="C106" t="s">
        <v>217</v>
      </c>
      <c r="D106" s="1"/>
      <c r="E106" s="3"/>
      <c r="F106"/>
      <c r="G106"/>
      <c r="H106"/>
      <c r="I106"/>
      <c r="J106"/>
      <c r="K106"/>
    </row>
    <row r="107" spans="1:11" s="5" customFormat="1" x14ac:dyDescent="0.25">
      <c r="A107" s="9" t="s">
        <v>194</v>
      </c>
      <c r="B107" s="9" t="s">
        <v>216</v>
      </c>
      <c r="C107" t="s">
        <v>218</v>
      </c>
      <c r="D107" s="1"/>
      <c r="E107" s="3"/>
      <c r="F107"/>
      <c r="G107"/>
      <c r="H107"/>
      <c r="I107"/>
      <c r="J107"/>
      <c r="K107"/>
    </row>
    <row r="108" spans="1:11" s="5" customFormat="1" x14ac:dyDescent="0.25">
      <c r="A108" s="9" t="s">
        <v>194</v>
      </c>
      <c r="B108" s="9" t="s">
        <v>219</v>
      </c>
      <c r="C108" t="s">
        <v>220</v>
      </c>
      <c r="D108" s="1"/>
      <c r="E108" s="3"/>
      <c r="F108"/>
      <c r="G108"/>
      <c r="H108"/>
      <c r="I108"/>
      <c r="J108"/>
      <c r="K108"/>
    </row>
    <row r="109" spans="1:11" s="5" customFormat="1" x14ac:dyDescent="0.25">
      <c r="A109" s="9" t="s">
        <v>194</v>
      </c>
      <c r="B109" s="9" t="s">
        <v>219</v>
      </c>
      <c r="C109" t="s">
        <v>221</v>
      </c>
      <c r="D109" s="1"/>
      <c r="E109" s="3"/>
      <c r="F109"/>
      <c r="G109"/>
      <c r="H109"/>
      <c r="I109"/>
      <c r="J109"/>
      <c r="K109"/>
    </row>
    <row r="110" spans="1:11" s="5" customFormat="1" x14ac:dyDescent="0.25">
      <c r="A110" s="9" t="s">
        <v>194</v>
      </c>
      <c r="B110" s="9" t="s">
        <v>222</v>
      </c>
      <c r="C110" t="s">
        <v>220</v>
      </c>
      <c r="D110" s="1"/>
      <c r="E110" s="3"/>
      <c r="F110"/>
      <c r="G110"/>
      <c r="H110"/>
      <c r="I110"/>
      <c r="J110"/>
      <c r="K110"/>
    </row>
    <row r="111" spans="1:11" s="5" customFormat="1" x14ac:dyDescent="0.25">
      <c r="A111" s="9" t="s">
        <v>194</v>
      </c>
      <c r="B111" s="9" t="s">
        <v>222</v>
      </c>
      <c r="C111" t="s">
        <v>221</v>
      </c>
      <c r="D111" s="1"/>
      <c r="E111" s="3"/>
      <c r="F111"/>
      <c r="G111"/>
      <c r="H111"/>
      <c r="I111"/>
      <c r="J111"/>
      <c r="K111"/>
    </row>
    <row r="112" spans="1:11" s="5" customFormat="1" x14ac:dyDescent="0.25">
      <c r="A112" s="9" t="s">
        <v>194</v>
      </c>
      <c r="B112" s="9" t="s">
        <v>223</v>
      </c>
      <c r="C112"/>
      <c r="D112" s="1"/>
      <c r="E112" s="3"/>
      <c r="F112"/>
      <c r="G112"/>
      <c r="H112"/>
      <c r="I112"/>
      <c r="J112"/>
      <c r="K112"/>
    </row>
    <row r="113" spans="1:11" s="5" customFormat="1" x14ac:dyDescent="0.25">
      <c r="A113" s="9" t="s">
        <v>194</v>
      </c>
      <c r="B113" s="9" t="s">
        <v>224</v>
      </c>
      <c r="C113" t="s">
        <v>225</v>
      </c>
      <c r="D113" s="1"/>
      <c r="E113" s="3"/>
      <c r="F113"/>
      <c r="G113"/>
      <c r="H113"/>
      <c r="I113"/>
      <c r="J113"/>
      <c r="K113"/>
    </row>
    <row r="114" spans="1:11" s="5" customFormat="1" x14ac:dyDescent="0.25">
      <c r="A114" s="9" t="s">
        <v>194</v>
      </c>
      <c r="B114" s="9" t="s">
        <v>224</v>
      </c>
      <c r="C114" t="s">
        <v>226</v>
      </c>
      <c r="D114" s="1"/>
      <c r="E114" s="3"/>
      <c r="F114"/>
      <c r="G114"/>
      <c r="H114"/>
      <c r="I114"/>
      <c r="J114"/>
      <c r="K114"/>
    </row>
    <row r="115" spans="1:11" s="5" customFormat="1" x14ac:dyDescent="0.25">
      <c r="A115" s="9" t="s">
        <v>194</v>
      </c>
      <c r="B115" s="9" t="s">
        <v>224</v>
      </c>
      <c r="C115" t="s">
        <v>227</v>
      </c>
      <c r="D115" s="1"/>
      <c r="E115" s="3"/>
      <c r="F115"/>
      <c r="G115"/>
      <c r="H115"/>
      <c r="I115"/>
      <c r="J115"/>
      <c r="K115"/>
    </row>
    <row r="116" spans="1:11" s="5" customFormat="1" x14ac:dyDescent="0.25">
      <c r="A116" s="9" t="s">
        <v>194</v>
      </c>
      <c r="B116" s="9" t="s">
        <v>228</v>
      </c>
      <c r="C116"/>
      <c r="D116" s="1"/>
      <c r="E116" s="3"/>
      <c r="F116"/>
      <c r="G116"/>
      <c r="H116"/>
      <c r="I116"/>
      <c r="J116"/>
      <c r="K116"/>
    </row>
    <row r="117" spans="1:11" s="5" customFormat="1" x14ac:dyDescent="0.25">
      <c r="A117" s="9" t="s">
        <v>229</v>
      </c>
      <c r="B117" s="9" t="s">
        <v>230</v>
      </c>
      <c r="C117" t="s">
        <v>231</v>
      </c>
      <c r="D117" s="1"/>
      <c r="E117" s="3"/>
      <c r="F117"/>
      <c r="G117"/>
      <c r="H117"/>
      <c r="I117"/>
      <c r="J117"/>
      <c r="K117"/>
    </row>
    <row r="118" spans="1:11" s="5" customFormat="1" x14ac:dyDescent="0.25">
      <c r="A118" s="9" t="s">
        <v>229</v>
      </c>
      <c r="B118" s="9" t="s">
        <v>230</v>
      </c>
      <c r="C118" t="s">
        <v>232</v>
      </c>
      <c r="D118" s="1"/>
      <c r="E118" s="3"/>
      <c r="F118"/>
      <c r="G118"/>
      <c r="H118"/>
      <c r="I118"/>
      <c r="J118"/>
      <c r="K118"/>
    </row>
    <row r="119" spans="1:11" s="5" customFormat="1" x14ac:dyDescent="0.25">
      <c r="A119" s="9" t="s">
        <v>229</v>
      </c>
      <c r="B119" s="9" t="s">
        <v>230</v>
      </c>
      <c r="C119" t="s">
        <v>233</v>
      </c>
      <c r="D119" s="1"/>
      <c r="E119" s="3"/>
      <c r="F119"/>
      <c r="G119"/>
      <c r="H119"/>
      <c r="I119"/>
      <c r="J119"/>
      <c r="K119"/>
    </row>
    <row r="120" spans="1:11" s="5" customFormat="1" x14ac:dyDescent="0.25">
      <c r="A120" s="9" t="s">
        <v>229</v>
      </c>
      <c r="B120" s="9" t="s">
        <v>230</v>
      </c>
      <c r="C120" t="s">
        <v>234</v>
      </c>
      <c r="D120" s="1"/>
      <c r="E120" s="3"/>
      <c r="F120"/>
      <c r="G120"/>
      <c r="H120"/>
      <c r="I120"/>
      <c r="J120"/>
      <c r="K120"/>
    </row>
    <row r="121" spans="1:11" s="5" customFormat="1" x14ac:dyDescent="0.25">
      <c r="A121" s="9" t="s">
        <v>229</v>
      </c>
      <c r="B121" s="9" t="s">
        <v>230</v>
      </c>
      <c r="C121" t="s">
        <v>235</v>
      </c>
      <c r="D121" s="1"/>
      <c r="E121" s="3"/>
      <c r="F121"/>
      <c r="G121"/>
      <c r="H121"/>
      <c r="I121"/>
      <c r="J121"/>
      <c r="K121"/>
    </row>
    <row r="122" spans="1:11" s="5" customFormat="1" x14ac:dyDescent="0.25">
      <c r="A122" s="9" t="s">
        <v>229</v>
      </c>
      <c r="B122" s="9" t="s">
        <v>230</v>
      </c>
      <c r="C122" t="s">
        <v>236</v>
      </c>
      <c r="D122" s="1"/>
      <c r="E122" s="3"/>
      <c r="F122"/>
      <c r="G122"/>
      <c r="H122"/>
      <c r="I122"/>
      <c r="J122"/>
      <c r="K122"/>
    </row>
    <row r="123" spans="1:11" s="5" customFormat="1" x14ac:dyDescent="0.25">
      <c r="A123" s="9" t="s">
        <v>229</v>
      </c>
      <c r="B123" s="9" t="s">
        <v>230</v>
      </c>
      <c r="C123" t="s">
        <v>237</v>
      </c>
      <c r="D123" s="1"/>
      <c r="E123" s="3"/>
      <c r="F123"/>
      <c r="G123"/>
      <c r="H123"/>
      <c r="I123"/>
      <c r="J123"/>
      <c r="K123"/>
    </row>
    <row r="124" spans="1:11" s="5" customFormat="1" x14ac:dyDescent="0.25">
      <c r="A124" s="9" t="s">
        <v>229</v>
      </c>
      <c r="B124" s="9" t="s">
        <v>230</v>
      </c>
      <c r="C124" t="s">
        <v>238</v>
      </c>
      <c r="D124" s="1"/>
      <c r="E124" s="3"/>
      <c r="F124"/>
      <c r="G124"/>
      <c r="H124"/>
      <c r="I124"/>
      <c r="J124"/>
      <c r="K124"/>
    </row>
    <row r="125" spans="1:11" s="5" customFormat="1" x14ac:dyDescent="0.25">
      <c r="A125" s="9" t="s">
        <v>229</v>
      </c>
      <c r="B125" t="s">
        <v>239</v>
      </c>
      <c r="C125" t="s">
        <v>240</v>
      </c>
      <c r="D125" s="1"/>
      <c r="E125" s="3"/>
      <c r="F125"/>
      <c r="G125"/>
      <c r="H125"/>
      <c r="I125"/>
      <c r="J125"/>
      <c r="K125"/>
    </row>
    <row r="126" spans="1:11" s="5" customFormat="1" x14ac:dyDescent="0.25">
      <c r="A126" s="9" t="s">
        <v>229</v>
      </c>
      <c r="B126" t="s">
        <v>239</v>
      </c>
      <c r="C126" t="s">
        <v>241</v>
      </c>
      <c r="D126" s="1"/>
      <c r="E126" s="3"/>
      <c r="F126"/>
      <c r="G126"/>
      <c r="H126"/>
      <c r="I126"/>
      <c r="J126"/>
      <c r="K126"/>
    </row>
    <row r="127" spans="1:11" s="5" customFormat="1" x14ac:dyDescent="0.25">
      <c r="A127" s="9" t="s">
        <v>229</v>
      </c>
      <c r="B127" t="s">
        <v>239</v>
      </c>
      <c r="C127" t="s">
        <v>242</v>
      </c>
      <c r="D127" s="1"/>
      <c r="E127" s="3"/>
      <c r="F127"/>
      <c r="G127"/>
      <c r="H127"/>
      <c r="I127"/>
      <c r="J127"/>
      <c r="K127"/>
    </row>
    <row r="128" spans="1:11" s="5" customFormat="1" x14ac:dyDescent="0.25">
      <c r="A128" s="9" t="s">
        <v>229</v>
      </c>
      <c r="B128" t="s">
        <v>239</v>
      </c>
      <c r="C128" t="s">
        <v>243</v>
      </c>
      <c r="D128" s="1"/>
      <c r="E128" s="3"/>
      <c r="F128"/>
      <c r="G128"/>
      <c r="H128"/>
      <c r="I128"/>
      <c r="J128"/>
      <c r="K128"/>
    </row>
    <row r="129" spans="1:11" s="5" customFormat="1" x14ac:dyDescent="0.25">
      <c r="A129" s="9" t="s">
        <v>229</v>
      </c>
      <c r="B129" t="s">
        <v>239</v>
      </c>
      <c r="C129" t="s">
        <v>244</v>
      </c>
      <c r="D129" s="1"/>
      <c r="E129" s="3"/>
      <c r="F129"/>
      <c r="G129"/>
      <c r="H129"/>
      <c r="I129"/>
      <c r="J129"/>
      <c r="K129"/>
    </row>
    <row r="130" spans="1:11" s="5" customFormat="1" x14ac:dyDescent="0.25">
      <c r="A130" s="9" t="s">
        <v>229</v>
      </c>
      <c r="B130" t="s">
        <v>239</v>
      </c>
      <c r="C130" t="s">
        <v>245</v>
      </c>
      <c r="D130" s="1"/>
      <c r="E130" s="3"/>
      <c r="F130"/>
      <c r="G130"/>
      <c r="H130"/>
      <c r="I130"/>
      <c r="J130"/>
      <c r="K130"/>
    </row>
    <row r="131" spans="1:11" s="5" customFormat="1" x14ac:dyDescent="0.25">
      <c r="A131" s="9" t="s">
        <v>229</v>
      </c>
      <c r="B131" s="9" t="s">
        <v>246</v>
      </c>
      <c r="C131" s="3" t="s">
        <v>247</v>
      </c>
      <c r="D131" s="1"/>
      <c r="E131" s="3"/>
      <c r="F131"/>
      <c r="G131"/>
      <c r="H131"/>
      <c r="I131"/>
      <c r="J131"/>
      <c r="K131"/>
    </row>
    <row r="132" spans="1:11" s="5" customFormat="1" x14ac:dyDescent="0.25">
      <c r="A132" s="9" t="s">
        <v>229</v>
      </c>
      <c r="B132" s="9" t="s">
        <v>246</v>
      </c>
      <c r="C132" t="s">
        <v>248</v>
      </c>
      <c r="D132" s="1"/>
      <c r="E132" s="3"/>
      <c r="F132"/>
      <c r="G132"/>
      <c r="H132"/>
      <c r="I132"/>
      <c r="J132"/>
      <c r="K132"/>
    </row>
    <row r="133" spans="1:11" s="5" customFormat="1" x14ac:dyDescent="0.25">
      <c r="A133" s="9" t="s">
        <v>229</v>
      </c>
      <c r="B133" s="9" t="s">
        <v>246</v>
      </c>
      <c r="C133" t="s">
        <v>249</v>
      </c>
      <c r="D133" s="1"/>
      <c r="E133" s="3"/>
      <c r="F133"/>
      <c r="G133"/>
      <c r="H133"/>
      <c r="I133"/>
      <c r="J133"/>
      <c r="K133"/>
    </row>
    <row r="134" spans="1:11" s="5" customFormat="1" x14ac:dyDescent="0.25">
      <c r="A134" s="9" t="s">
        <v>229</v>
      </c>
      <c r="B134" s="9" t="s">
        <v>246</v>
      </c>
      <c r="C134" t="s">
        <v>250</v>
      </c>
      <c r="D134" s="1"/>
      <c r="E134" s="3"/>
      <c r="F134"/>
      <c r="G134"/>
      <c r="H134"/>
      <c r="I134"/>
      <c r="J134"/>
      <c r="K134"/>
    </row>
    <row r="135" spans="1:11" s="5" customFormat="1" x14ac:dyDescent="0.25">
      <c r="A135" s="9" t="s">
        <v>229</v>
      </c>
      <c r="B135" s="9" t="s">
        <v>246</v>
      </c>
      <c r="C135" t="s">
        <v>251</v>
      </c>
      <c r="D135" s="1"/>
      <c r="E135" s="3"/>
      <c r="F135"/>
      <c r="G135"/>
      <c r="H135"/>
      <c r="I135"/>
      <c r="J135"/>
      <c r="K135"/>
    </row>
    <row r="136" spans="1:11" s="5" customFormat="1" x14ac:dyDescent="0.25">
      <c r="A136" s="9" t="s">
        <v>229</v>
      </c>
      <c r="B136" s="9" t="s">
        <v>246</v>
      </c>
      <c r="C136" t="s">
        <v>252</v>
      </c>
      <c r="D136" s="1"/>
      <c r="E136" s="3"/>
      <c r="F136"/>
      <c r="G136"/>
      <c r="H136"/>
      <c r="I136"/>
      <c r="J136"/>
      <c r="K136"/>
    </row>
    <row r="137" spans="1:11" s="5" customFormat="1" x14ac:dyDescent="0.25">
      <c r="A137" s="9" t="s">
        <v>229</v>
      </c>
      <c r="B137" s="9" t="s">
        <v>253</v>
      </c>
      <c r="C137" t="s">
        <v>254</v>
      </c>
      <c r="D137" s="1"/>
      <c r="E137" s="3"/>
      <c r="F137"/>
      <c r="G137"/>
      <c r="H137"/>
      <c r="I137"/>
      <c r="J137"/>
      <c r="K137"/>
    </row>
    <row r="138" spans="1:11" s="5" customFormat="1" x14ac:dyDescent="0.25">
      <c r="A138" s="9" t="s">
        <v>229</v>
      </c>
      <c r="B138" s="9" t="s">
        <v>253</v>
      </c>
      <c r="C138" t="s">
        <v>255</v>
      </c>
      <c r="D138" s="1"/>
      <c r="E138" s="3"/>
      <c r="F138"/>
      <c r="G138"/>
      <c r="H138"/>
      <c r="I138"/>
      <c r="J138"/>
      <c r="K138"/>
    </row>
    <row r="139" spans="1:11" s="5" customFormat="1" x14ac:dyDescent="0.25">
      <c r="A139" s="9" t="s">
        <v>229</v>
      </c>
      <c r="B139" s="9" t="s">
        <v>253</v>
      </c>
      <c r="C139" t="s">
        <v>256</v>
      </c>
      <c r="D139" s="1"/>
      <c r="E139" s="3"/>
      <c r="F139"/>
      <c r="G139"/>
      <c r="H139"/>
      <c r="I139"/>
      <c r="J139"/>
      <c r="K139"/>
    </row>
    <row r="140" spans="1:11" s="5" customFormat="1" x14ac:dyDescent="0.25">
      <c r="A140" s="9" t="s">
        <v>229</v>
      </c>
      <c r="B140" s="9" t="s">
        <v>253</v>
      </c>
      <c r="C140" t="s">
        <v>257</v>
      </c>
      <c r="D140" s="1"/>
      <c r="E140" s="3"/>
      <c r="F140"/>
      <c r="G140"/>
      <c r="H140"/>
      <c r="I140"/>
      <c r="J140"/>
      <c r="K140"/>
    </row>
    <row r="141" spans="1:11" s="5" customFormat="1" x14ac:dyDescent="0.25">
      <c r="A141" s="9" t="s">
        <v>229</v>
      </c>
      <c r="B141" s="9" t="s">
        <v>253</v>
      </c>
      <c r="C141" t="s">
        <v>258</v>
      </c>
      <c r="D141" s="1"/>
      <c r="E141" s="3"/>
      <c r="F141"/>
      <c r="G141"/>
      <c r="H141"/>
      <c r="I141"/>
      <c r="J141"/>
      <c r="K141"/>
    </row>
    <row r="142" spans="1:11" s="5" customFormat="1" x14ac:dyDescent="0.25">
      <c r="A142" s="9" t="s">
        <v>229</v>
      </c>
      <c r="B142" s="9" t="s">
        <v>259</v>
      </c>
      <c r="C142" t="s">
        <v>260</v>
      </c>
      <c r="D142" s="1"/>
      <c r="E142" s="3"/>
      <c r="F142"/>
      <c r="G142"/>
      <c r="H142"/>
      <c r="I142"/>
      <c r="J142"/>
      <c r="K142"/>
    </row>
    <row r="143" spans="1:11" s="5" customFormat="1" x14ac:dyDescent="0.25">
      <c r="A143" s="9" t="s">
        <v>229</v>
      </c>
      <c r="B143" s="9" t="s">
        <v>259</v>
      </c>
      <c r="C143" t="s">
        <v>261</v>
      </c>
      <c r="D143" s="1"/>
      <c r="E143" s="3"/>
      <c r="F143"/>
      <c r="G143"/>
      <c r="H143"/>
      <c r="I143"/>
      <c r="J143"/>
      <c r="K143"/>
    </row>
    <row r="144" spans="1:11" s="5" customFormat="1" x14ac:dyDescent="0.25">
      <c r="A144" s="9" t="s">
        <v>229</v>
      </c>
      <c r="B144" s="9" t="s">
        <v>259</v>
      </c>
      <c r="C144" t="s">
        <v>262</v>
      </c>
      <c r="D144" s="1"/>
      <c r="E144" s="3"/>
      <c r="F144"/>
      <c r="G144"/>
      <c r="H144"/>
      <c r="I144"/>
      <c r="J144"/>
      <c r="K144"/>
    </row>
    <row r="145" spans="1:11" s="5" customFormat="1" x14ac:dyDescent="0.25">
      <c r="A145" s="9" t="s">
        <v>229</v>
      </c>
      <c r="B145" s="9" t="s">
        <v>259</v>
      </c>
      <c r="C145" t="s">
        <v>263</v>
      </c>
      <c r="D145" s="1"/>
      <c r="E145" s="3"/>
      <c r="F145"/>
      <c r="G145"/>
      <c r="H145"/>
      <c r="I145"/>
      <c r="J145"/>
      <c r="K145"/>
    </row>
    <row r="146" spans="1:11" s="5" customFormat="1" x14ac:dyDescent="0.25">
      <c r="A146" s="9" t="s">
        <v>229</v>
      </c>
      <c r="B146" s="9" t="s">
        <v>259</v>
      </c>
      <c r="C146" t="s">
        <v>264</v>
      </c>
      <c r="D146" s="1"/>
      <c r="E146" s="3"/>
      <c r="F146"/>
      <c r="G146"/>
      <c r="H146"/>
      <c r="I146"/>
      <c r="J146"/>
      <c r="K146"/>
    </row>
    <row r="147" spans="1:11" s="5" customFormat="1" x14ac:dyDescent="0.25">
      <c r="A147" s="9" t="s">
        <v>229</v>
      </c>
      <c r="B147" s="9" t="s">
        <v>265</v>
      </c>
      <c r="C147"/>
      <c r="D147" s="1"/>
      <c r="E147" s="3"/>
      <c r="F147"/>
      <c r="G147"/>
      <c r="H147"/>
      <c r="I147"/>
      <c r="J147"/>
      <c r="K147"/>
    </row>
    <row r="148" spans="1:11" s="5" customFormat="1" x14ac:dyDescent="0.25">
      <c r="A148" s="9" t="s">
        <v>229</v>
      </c>
      <c r="B148" s="9" t="s">
        <v>266</v>
      </c>
      <c r="C148"/>
      <c r="D148" s="1"/>
      <c r="E148" s="3"/>
      <c r="F148"/>
      <c r="G148"/>
      <c r="H148"/>
      <c r="I148"/>
      <c r="J148"/>
      <c r="K148"/>
    </row>
    <row r="149" spans="1:11" s="5" customFormat="1" x14ac:dyDescent="0.25">
      <c r="A149" s="9" t="s">
        <v>229</v>
      </c>
      <c r="B149" s="9" t="s">
        <v>267</v>
      </c>
      <c r="C149"/>
      <c r="D149" s="1"/>
      <c r="E149" s="3"/>
      <c r="F149"/>
      <c r="G149"/>
      <c r="H149"/>
      <c r="I149"/>
      <c r="J149"/>
      <c r="K149"/>
    </row>
    <row r="150" spans="1:11" s="5" customFormat="1" x14ac:dyDescent="0.25">
      <c r="A150" s="9" t="s">
        <v>229</v>
      </c>
      <c r="B150" s="9" t="s">
        <v>268</v>
      </c>
      <c r="C150"/>
      <c r="D150" s="1"/>
      <c r="E150" s="3"/>
      <c r="F150"/>
      <c r="G150"/>
      <c r="H150"/>
      <c r="I150"/>
      <c r="J150"/>
      <c r="K150"/>
    </row>
    <row r="151" spans="1:11" s="5" customFormat="1" x14ac:dyDescent="0.25">
      <c r="A151" s="9" t="s">
        <v>229</v>
      </c>
      <c r="B151" s="9" t="s">
        <v>269</v>
      </c>
      <c r="C151"/>
      <c r="D151" s="1"/>
      <c r="E151" s="3"/>
      <c r="F151"/>
      <c r="G151"/>
      <c r="H151"/>
      <c r="I151"/>
      <c r="J151"/>
      <c r="K151"/>
    </row>
    <row r="152" spans="1:11" s="5" customFormat="1" x14ac:dyDescent="0.25">
      <c r="A152" s="9" t="s">
        <v>229</v>
      </c>
      <c r="B152" s="9" t="s">
        <v>270</v>
      </c>
      <c r="C152" t="s">
        <v>271</v>
      </c>
      <c r="D152" s="1"/>
      <c r="E152" s="3"/>
      <c r="F152"/>
      <c r="G152"/>
      <c r="H152"/>
      <c r="I152"/>
      <c r="J152"/>
      <c r="K152"/>
    </row>
    <row r="153" spans="1:11" s="5" customFormat="1" x14ac:dyDescent="0.25">
      <c r="A153" s="9" t="s">
        <v>229</v>
      </c>
      <c r="B153" s="9" t="s">
        <v>270</v>
      </c>
      <c r="C153" t="s">
        <v>272</v>
      </c>
      <c r="D153" s="1"/>
      <c r="E153" s="3"/>
      <c r="F153"/>
      <c r="G153"/>
      <c r="H153"/>
      <c r="I153"/>
      <c r="J153"/>
      <c r="K153"/>
    </row>
    <row r="154" spans="1:11" s="5" customFormat="1" x14ac:dyDescent="0.25">
      <c r="A154" s="9" t="s">
        <v>229</v>
      </c>
      <c r="B154" s="9" t="s">
        <v>270</v>
      </c>
      <c r="C154" t="s">
        <v>273</v>
      </c>
      <c r="D154" s="1"/>
      <c r="E154" s="3"/>
      <c r="F154"/>
      <c r="G154"/>
      <c r="H154"/>
      <c r="I154"/>
      <c r="J154"/>
      <c r="K154"/>
    </row>
    <row r="155" spans="1:11" s="5" customFormat="1" x14ac:dyDescent="0.25">
      <c r="A155" s="9" t="s">
        <v>229</v>
      </c>
      <c r="B155" s="9" t="s">
        <v>270</v>
      </c>
      <c r="C155" t="s">
        <v>264</v>
      </c>
      <c r="D155" s="1"/>
      <c r="E155" s="3"/>
      <c r="F155"/>
      <c r="G155"/>
      <c r="H155"/>
      <c r="I155"/>
      <c r="J155"/>
      <c r="K155"/>
    </row>
    <row r="156" spans="1:11" s="5" customFormat="1" x14ac:dyDescent="0.25">
      <c r="A156" s="9" t="s">
        <v>229</v>
      </c>
      <c r="B156" s="9" t="s">
        <v>274</v>
      </c>
      <c r="C156" t="s">
        <v>275</v>
      </c>
      <c r="D156" s="1"/>
      <c r="E156" s="3"/>
      <c r="F156"/>
      <c r="G156"/>
      <c r="H156"/>
      <c r="I156"/>
      <c r="J156"/>
      <c r="K156"/>
    </row>
    <row r="157" spans="1:11" s="5" customFormat="1" x14ac:dyDescent="0.25">
      <c r="A157" s="9" t="s">
        <v>229</v>
      </c>
      <c r="B157" s="9" t="s">
        <v>274</v>
      </c>
      <c r="C157" t="s">
        <v>276</v>
      </c>
      <c r="D157" s="1"/>
      <c r="E157" s="3"/>
      <c r="F157"/>
      <c r="G157"/>
      <c r="H157"/>
      <c r="I157"/>
      <c r="J157"/>
      <c r="K157"/>
    </row>
    <row r="158" spans="1:11" s="5" customFormat="1" x14ac:dyDescent="0.25">
      <c r="A158" s="9" t="s">
        <v>229</v>
      </c>
      <c r="B158" s="9" t="s">
        <v>274</v>
      </c>
      <c r="C158" t="s">
        <v>277</v>
      </c>
      <c r="D158" s="1"/>
      <c r="E158" s="3"/>
      <c r="F158"/>
      <c r="G158"/>
      <c r="H158"/>
      <c r="I158"/>
      <c r="J158"/>
      <c r="K158"/>
    </row>
    <row r="159" spans="1:11" s="5" customFormat="1" x14ac:dyDescent="0.25">
      <c r="A159" s="9" t="s">
        <v>229</v>
      </c>
      <c r="B159" s="9" t="s">
        <v>274</v>
      </c>
      <c r="C159" t="s">
        <v>278</v>
      </c>
      <c r="D159" s="1"/>
      <c r="E159" s="3"/>
      <c r="F159"/>
      <c r="G159"/>
      <c r="H159"/>
      <c r="I159"/>
      <c r="J159"/>
      <c r="K159"/>
    </row>
    <row r="160" spans="1:11" s="5" customFormat="1" x14ac:dyDescent="0.25">
      <c r="A160" s="9" t="s">
        <v>229</v>
      </c>
      <c r="B160" s="9" t="s">
        <v>279</v>
      </c>
      <c r="C160" t="s">
        <v>280</v>
      </c>
      <c r="D160" s="1"/>
      <c r="E160" s="3"/>
      <c r="F160"/>
      <c r="G160"/>
      <c r="H160"/>
      <c r="I160"/>
      <c r="J160"/>
      <c r="K160"/>
    </row>
    <row r="161" spans="1:11" s="5" customFormat="1" x14ac:dyDescent="0.25">
      <c r="A161" s="9" t="s">
        <v>229</v>
      </c>
      <c r="B161" s="9" t="s">
        <v>279</v>
      </c>
      <c r="C161" t="s">
        <v>208</v>
      </c>
      <c r="D161" s="1"/>
      <c r="E161" s="3"/>
      <c r="F161"/>
      <c r="G161"/>
      <c r="H161"/>
      <c r="I161"/>
      <c r="J161"/>
      <c r="K161"/>
    </row>
    <row r="162" spans="1:11" s="5" customFormat="1" x14ac:dyDescent="0.25">
      <c r="A162" s="9" t="s">
        <v>229</v>
      </c>
      <c r="B162" s="9" t="s">
        <v>279</v>
      </c>
      <c r="C162" t="s">
        <v>281</v>
      </c>
      <c r="D162" s="1"/>
      <c r="E162" s="3"/>
      <c r="F162"/>
      <c r="G162"/>
      <c r="H162"/>
      <c r="I162"/>
      <c r="J162"/>
      <c r="K162"/>
    </row>
    <row r="163" spans="1:11" s="5" customFormat="1" x14ac:dyDescent="0.25">
      <c r="A163" s="9" t="s">
        <v>229</v>
      </c>
      <c r="B163" s="9" t="s">
        <v>279</v>
      </c>
      <c r="C163" t="s">
        <v>282</v>
      </c>
      <c r="D163" s="1"/>
      <c r="E163" s="3"/>
      <c r="F163"/>
      <c r="G163"/>
      <c r="H163"/>
      <c r="I163"/>
      <c r="J163"/>
      <c r="K163"/>
    </row>
    <row r="164" spans="1:11" s="5" customFormat="1" x14ac:dyDescent="0.25">
      <c r="A164" s="9" t="s">
        <v>229</v>
      </c>
      <c r="B164" s="9" t="s">
        <v>279</v>
      </c>
      <c r="C164" t="s">
        <v>283</v>
      </c>
      <c r="D164" s="1"/>
      <c r="E164" s="3"/>
      <c r="F164"/>
      <c r="G164"/>
      <c r="H164"/>
      <c r="I164"/>
      <c r="J164"/>
      <c r="K164"/>
    </row>
    <row r="165" spans="1:11" s="5" customFormat="1" x14ac:dyDescent="0.25">
      <c r="A165" s="9" t="s">
        <v>229</v>
      </c>
      <c r="B165" s="9" t="s">
        <v>284</v>
      </c>
      <c r="C165" t="s">
        <v>285</v>
      </c>
      <c r="D165" s="1"/>
      <c r="E165" s="3"/>
      <c r="F165"/>
      <c r="G165"/>
      <c r="H165"/>
      <c r="I165"/>
      <c r="J165"/>
      <c r="K165"/>
    </row>
    <row r="166" spans="1:11" s="5" customFormat="1" x14ac:dyDescent="0.25">
      <c r="A166" s="9" t="s">
        <v>229</v>
      </c>
      <c r="B166" s="9" t="s">
        <v>284</v>
      </c>
      <c r="C166" t="s">
        <v>286</v>
      </c>
      <c r="D166" s="1"/>
      <c r="E166" s="3"/>
      <c r="F166"/>
      <c r="G166"/>
      <c r="H166"/>
      <c r="I166"/>
      <c r="J166"/>
      <c r="K166"/>
    </row>
    <row r="167" spans="1:11" s="5" customFormat="1" x14ac:dyDescent="0.25">
      <c r="A167" s="9" t="s">
        <v>229</v>
      </c>
      <c r="B167" s="9" t="s">
        <v>284</v>
      </c>
      <c r="C167" t="s">
        <v>287</v>
      </c>
      <c r="D167" s="1"/>
      <c r="E167" s="3"/>
      <c r="F167"/>
      <c r="G167"/>
      <c r="H167"/>
      <c r="I167"/>
      <c r="J167"/>
      <c r="K167"/>
    </row>
    <row r="168" spans="1:11" s="5" customFormat="1" x14ac:dyDescent="0.25">
      <c r="A168" s="9" t="s">
        <v>229</v>
      </c>
      <c r="B168" s="9" t="s">
        <v>284</v>
      </c>
      <c r="C168" t="s">
        <v>288</v>
      </c>
      <c r="D168" s="1"/>
      <c r="E168" s="3"/>
      <c r="F168"/>
      <c r="G168"/>
      <c r="H168"/>
      <c r="I168"/>
      <c r="J168"/>
      <c r="K168"/>
    </row>
    <row r="169" spans="1:11" s="5" customFormat="1" x14ac:dyDescent="0.25">
      <c r="A169" s="9" t="s">
        <v>229</v>
      </c>
      <c r="B169" s="9" t="s">
        <v>284</v>
      </c>
      <c r="C169" t="s">
        <v>289</v>
      </c>
      <c r="D169" s="1"/>
      <c r="E169" s="3"/>
      <c r="F169"/>
      <c r="G169"/>
      <c r="H169"/>
      <c r="I169"/>
      <c r="J169"/>
      <c r="K169"/>
    </row>
    <row r="170" spans="1:11" s="5" customFormat="1" x14ac:dyDescent="0.25">
      <c r="A170" s="9" t="s">
        <v>229</v>
      </c>
      <c r="B170" s="9" t="s">
        <v>284</v>
      </c>
      <c r="C170" t="s">
        <v>290</v>
      </c>
      <c r="D170" s="1"/>
      <c r="E170" s="3"/>
      <c r="F170"/>
      <c r="G170"/>
      <c r="H170"/>
      <c r="I170"/>
      <c r="J170"/>
      <c r="K170"/>
    </row>
    <row r="171" spans="1:11" s="5" customFormat="1" x14ac:dyDescent="0.25">
      <c r="A171" s="9" t="s">
        <v>229</v>
      </c>
      <c r="B171" s="9" t="s">
        <v>291</v>
      </c>
      <c r="C171" t="s">
        <v>292</v>
      </c>
      <c r="D171" s="1"/>
      <c r="E171" s="3"/>
      <c r="F171"/>
      <c r="G171"/>
      <c r="H171"/>
      <c r="I171"/>
      <c r="J171"/>
      <c r="K171"/>
    </row>
    <row r="172" spans="1:11" s="5" customFormat="1" x14ac:dyDescent="0.25">
      <c r="A172" s="9" t="s">
        <v>229</v>
      </c>
      <c r="B172" s="9" t="s">
        <v>291</v>
      </c>
      <c r="C172" t="s">
        <v>293</v>
      </c>
      <c r="D172" s="1"/>
      <c r="E172" s="3"/>
      <c r="F172"/>
      <c r="G172"/>
      <c r="H172"/>
      <c r="I172"/>
      <c r="J172"/>
      <c r="K172"/>
    </row>
    <row r="173" spans="1:11" s="5" customFormat="1" x14ac:dyDescent="0.25">
      <c r="A173" s="9" t="s">
        <v>229</v>
      </c>
      <c r="B173" s="9" t="s">
        <v>291</v>
      </c>
      <c r="C173" t="s">
        <v>294</v>
      </c>
      <c r="D173" s="1"/>
      <c r="E173" s="3"/>
      <c r="F173"/>
      <c r="G173"/>
      <c r="H173"/>
      <c r="I173"/>
      <c r="J173"/>
      <c r="K173"/>
    </row>
    <row r="174" spans="1:11" s="5" customFormat="1" x14ac:dyDescent="0.25">
      <c r="A174" s="9" t="s">
        <v>229</v>
      </c>
      <c r="B174" s="9" t="s">
        <v>291</v>
      </c>
      <c r="C174" t="s">
        <v>295</v>
      </c>
      <c r="D174" s="1"/>
      <c r="E174" s="3"/>
      <c r="F174"/>
      <c r="G174"/>
      <c r="H174"/>
      <c r="I174"/>
      <c r="J174"/>
      <c r="K174"/>
    </row>
    <row r="175" spans="1:11" s="5" customFormat="1" x14ac:dyDescent="0.25">
      <c r="A175" s="9" t="s">
        <v>229</v>
      </c>
      <c r="B175" s="9" t="s">
        <v>291</v>
      </c>
      <c r="C175" t="s">
        <v>296</v>
      </c>
      <c r="D175" s="1"/>
      <c r="E175" s="3"/>
      <c r="F175"/>
      <c r="G175"/>
      <c r="H175"/>
      <c r="I175"/>
      <c r="J175"/>
      <c r="K175"/>
    </row>
    <row r="176" spans="1:11" s="5" customFormat="1" x14ac:dyDescent="0.25">
      <c r="A176" s="9" t="s">
        <v>229</v>
      </c>
      <c r="B176" s="9" t="s">
        <v>297</v>
      </c>
      <c r="C176" t="s">
        <v>298</v>
      </c>
      <c r="D176" s="1"/>
      <c r="E176" s="3"/>
      <c r="F176"/>
      <c r="G176"/>
      <c r="H176"/>
      <c r="I176"/>
      <c r="J176"/>
      <c r="K176"/>
    </row>
    <row r="177" spans="1:18" s="5" customFormat="1" x14ac:dyDescent="0.25">
      <c r="A177" s="9" t="s">
        <v>229</v>
      </c>
      <c r="B177" s="9" t="s">
        <v>297</v>
      </c>
      <c r="C177" t="s">
        <v>299</v>
      </c>
      <c r="D177" s="1"/>
      <c r="E177" s="3"/>
      <c r="F177"/>
      <c r="G177"/>
      <c r="H177"/>
      <c r="I177"/>
      <c r="J177"/>
      <c r="K177"/>
    </row>
    <row r="178" spans="1:18" s="5" customFormat="1" x14ac:dyDescent="0.25">
      <c r="A178" s="9" t="s">
        <v>229</v>
      </c>
      <c r="B178" s="9" t="s">
        <v>297</v>
      </c>
      <c r="C178" t="s">
        <v>300</v>
      </c>
      <c r="D178" s="1"/>
      <c r="E178" s="3"/>
      <c r="F178"/>
      <c r="G178"/>
      <c r="H178"/>
      <c r="I178"/>
      <c r="J178"/>
      <c r="K178"/>
    </row>
    <row r="179" spans="1:18" s="5" customFormat="1" x14ac:dyDescent="0.25">
      <c r="A179" s="9" t="s">
        <v>229</v>
      </c>
      <c r="B179" s="9" t="s">
        <v>297</v>
      </c>
      <c r="C179" t="s">
        <v>301</v>
      </c>
      <c r="D179" s="1"/>
      <c r="E179" s="3"/>
      <c r="F179"/>
      <c r="G179"/>
      <c r="H179"/>
      <c r="I179"/>
      <c r="J179"/>
      <c r="K179"/>
    </row>
    <row r="180" spans="1:18" s="5" customFormat="1" x14ac:dyDescent="0.25">
      <c r="A180" s="9" t="s">
        <v>229</v>
      </c>
      <c r="B180" s="9" t="s">
        <v>297</v>
      </c>
      <c r="C180" t="s">
        <v>302</v>
      </c>
      <c r="D180" s="1"/>
      <c r="E180" s="3"/>
      <c r="F180"/>
      <c r="G180"/>
      <c r="H180"/>
      <c r="I180"/>
      <c r="J180"/>
      <c r="K180"/>
    </row>
    <row r="181" spans="1:18" s="5" customFormat="1" x14ac:dyDescent="0.25">
      <c r="A181" s="9" t="s">
        <v>229</v>
      </c>
      <c r="B181" s="9" t="s">
        <v>297</v>
      </c>
      <c r="C181" t="s">
        <v>303</v>
      </c>
      <c r="D181" s="1"/>
      <c r="E181" s="3"/>
      <c r="F181"/>
      <c r="G181"/>
      <c r="H181"/>
      <c r="I181"/>
      <c r="J181"/>
      <c r="K181"/>
    </row>
    <row r="182" spans="1:18" s="5" customFormat="1" x14ac:dyDescent="0.25">
      <c r="A182" s="9" t="s">
        <v>229</v>
      </c>
      <c r="B182" s="9" t="s">
        <v>297</v>
      </c>
      <c r="C182" t="s">
        <v>304</v>
      </c>
      <c r="D182" s="1"/>
      <c r="E182" s="3"/>
      <c r="F182"/>
      <c r="G182"/>
      <c r="H182"/>
      <c r="I182"/>
      <c r="J182"/>
      <c r="K182"/>
      <c r="P182"/>
      <c r="Q182"/>
    </row>
    <row r="183" spans="1:18" s="5" customFormat="1" x14ac:dyDescent="0.25">
      <c r="A183" s="9" t="s">
        <v>229</v>
      </c>
      <c r="B183" s="9" t="s">
        <v>297</v>
      </c>
      <c r="C183" t="s">
        <v>305</v>
      </c>
      <c r="D183" s="1"/>
      <c r="E183" s="3"/>
      <c r="F183"/>
      <c r="G183"/>
      <c r="H183"/>
      <c r="I183"/>
      <c r="J183"/>
      <c r="K183"/>
      <c r="P183"/>
      <c r="Q183"/>
    </row>
    <row r="184" spans="1:18" s="5" customFormat="1" x14ac:dyDescent="0.25">
      <c r="A184" s="9" t="s">
        <v>229</v>
      </c>
      <c r="B184" s="9" t="s">
        <v>297</v>
      </c>
      <c r="C184" t="s">
        <v>306</v>
      </c>
      <c r="D184" s="1"/>
      <c r="E184" s="3"/>
      <c r="F184"/>
      <c r="G184"/>
      <c r="H184"/>
      <c r="I184"/>
      <c r="J184"/>
      <c r="K184"/>
      <c r="P184"/>
      <c r="Q184"/>
    </row>
    <row r="185" spans="1:18" s="5" customFormat="1" x14ac:dyDescent="0.25">
      <c r="A185" t="s">
        <v>307</v>
      </c>
      <c r="B185" t="s">
        <v>308</v>
      </c>
      <c r="C185" t="s">
        <v>309</v>
      </c>
      <c r="D185"/>
      <c r="E185" s="3"/>
      <c r="G185"/>
      <c r="H185"/>
      <c r="I185"/>
      <c r="J185"/>
      <c r="K185"/>
      <c r="P185"/>
      <c r="Q185"/>
    </row>
    <row r="186" spans="1:18" s="5" customFormat="1" x14ac:dyDescent="0.25">
      <c r="A186" t="s">
        <v>307</v>
      </c>
      <c r="B186" t="s">
        <v>308</v>
      </c>
      <c r="C186" t="s">
        <v>310</v>
      </c>
      <c r="D186"/>
      <c r="E186" s="3"/>
      <c r="F186"/>
      <c r="G186"/>
      <c r="H186"/>
      <c r="I186"/>
      <c r="J186"/>
      <c r="K186"/>
      <c r="P186"/>
      <c r="Q186"/>
    </row>
    <row r="187" spans="1:18" s="5" customFormat="1" x14ac:dyDescent="0.25">
      <c r="A187" t="s">
        <v>307</v>
      </c>
      <c r="B187" t="s">
        <v>311</v>
      </c>
      <c r="C187"/>
      <c r="D187"/>
      <c r="E187" s="3"/>
      <c r="F187"/>
      <c r="G187"/>
      <c r="H187"/>
      <c r="I187"/>
      <c r="J187"/>
      <c r="K187"/>
      <c r="P187"/>
      <c r="Q187"/>
    </row>
    <row r="188" spans="1:18" s="5" customFormat="1" x14ac:dyDescent="0.25">
      <c r="A188" t="s">
        <v>307</v>
      </c>
      <c r="B188" t="s">
        <v>312</v>
      </c>
      <c r="C188"/>
      <c r="D188"/>
      <c r="E188" s="3"/>
      <c r="F188"/>
      <c r="G188"/>
      <c r="H188"/>
      <c r="I188"/>
      <c r="J188"/>
      <c r="K188"/>
      <c r="M188"/>
      <c r="N188"/>
      <c r="P188"/>
      <c r="Q188"/>
      <c r="R188"/>
    </row>
    <row r="189" spans="1:18" x14ac:dyDescent="0.25">
      <c r="A189" t="s">
        <v>307</v>
      </c>
      <c r="B189" t="s">
        <v>313</v>
      </c>
      <c r="D189"/>
      <c r="E189" s="3"/>
      <c r="K189"/>
    </row>
    <row r="190" spans="1:18" x14ac:dyDescent="0.25">
      <c r="A190" t="s">
        <v>307</v>
      </c>
      <c r="B190" t="s">
        <v>314</v>
      </c>
      <c r="C190" s="9" t="s">
        <v>315</v>
      </c>
      <c r="D190" s="9"/>
      <c r="E190" s="3"/>
      <c r="K190"/>
    </row>
    <row r="191" spans="1:18" x14ac:dyDescent="0.25">
      <c r="A191" t="s">
        <v>307</v>
      </c>
      <c r="B191" t="s">
        <v>314</v>
      </c>
      <c r="C191" s="9" t="s">
        <v>316</v>
      </c>
      <c r="D191" s="9"/>
      <c r="E191" s="3"/>
      <c r="K191"/>
    </row>
    <row r="192" spans="1:18" x14ac:dyDescent="0.25">
      <c r="A192" t="s">
        <v>307</v>
      </c>
      <c r="B192" t="s">
        <v>314</v>
      </c>
      <c r="C192" s="9" t="s">
        <v>317</v>
      </c>
      <c r="D192" s="9"/>
      <c r="E192" s="3"/>
      <c r="K192"/>
    </row>
    <row r="193" spans="1:11" x14ac:dyDescent="0.25">
      <c r="A193" t="s">
        <v>307</v>
      </c>
      <c r="B193" t="s">
        <v>318</v>
      </c>
      <c r="C193" t="s">
        <v>319</v>
      </c>
      <c r="D193"/>
      <c r="E193" s="3"/>
      <c r="K193"/>
    </row>
    <row r="194" spans="1:11" x14ac:dyDescent="0.25">
      <c r="A194" t="s">
        <v>307</v>
      </c>
      <c r="B194" t="s">
        <v>318</v>
      </c>
      <c r="C194" t="s">
        <v>320</v>
      </c>
      <c r="D194"/>
      <c r="E194" s="3"/>
      <c r="K194"/>
    </row>
    <row r="195" spans="1:11" x14ac:dyDescent="0.25">
      <c r="A195" t="s">
        <v>307</v>
      </c>
      <c r="B195" t="s">
        <v>321</v>
      </c>
      <c r="D195"/>
      <c r="E195" s="3"/>
      <c r="K195"/>
    </row>
    <row r="196" spans="1:11" x14ac:dyDescent="0.25">
      <c r="A196" t="s">
        <v>307</v>
      </c>
      <c r="B196" t="s">
        <v>322</v>
      </c>
      <c r="D196"/>
      <c r="E196" s="3"/>
      <c r="K196"/>
    </row>
    <row r="197" spans="1:11" x14ac:dyDescent="0.25">
      <c r="A197" t="s">
        <v>307</v>
      </c>
      <c r="B197" t="s">
        <v>323</v>
      </c>
      <c r="D197"/>
      <c r="E197" s="3"/>
      <c r="K197"/>
    </row>
    <row r="198" spans="1:11" x14ac:dyDescent="0.25">
      <c r="A198" t="s">
        <v>307</v>
      </c>
      <c r="B198" t="s">
        <v>324</v>
      </c>
      <c r="D198"/>
      <c r="E198" s="3"/>
      <c r="K198"/>
    </row>
    <row r="199" spans="1:11" x14ac:dyDescent="0.25">
      <c r="A199" t="s">
        <v>307</v>
      </c>
      <c r="B199" t="s">
        <v>325</v>
      </c>
      <c r="D199"/>
      <c r="E199" s="3"/>
      <c r="K199"/>
    </row>
    <row r="200" spans="1:11" x14ac:dyDescent="0.25">
      <c r="A200" t="s">
        <v>307</v>
      </c>
      <c r="B200" t="s">
        <v>326</v>
      </c>
      <c r="D200"/>
      <c r="E200" s="3"/>
      <c r="K200"/>
    </row>
    <row r="201" spans="1:11" x14ac:dyDescent="0.25">
      <c r="A201" t="s">
        <v>307</v>
      </c>
      <c r="B201" t="s">
        <v>327</v>
      </c>
      <c r="D201"/>
      <c r="E201" s="3"/>
      <c r="K201"/>
    </row>
    <row r="202" spans="1:11" x14ac:dyDescent="0.25">
      <c r="A202" t="s">
        <v>307</v>
      </c>
      <c r="B202" t="s">
        <v>328</v>
      </c>
      <c r="D202"/>
      <c r="E202" s="3"/>
      <c r="K202"/>
    </row>
    <row r="203" spans="1:11" x14ac:dyDescent="0.25">
      <c r="A203" t="s">
        <v>307</v>
      </c>
      <c r="B203" s="9" t="s">
        <v>329</v>
      </c>
      <c r="D203"/>
      <c r="E203" s="3"/>
      <c r="K203"/>
    </row>
    <row r="204" spans="1:11" x14ac:dyDescent="0.25">
      <c r="A204" t="s">
        <v>307</v>
      </c>
      <c r="B204" t="s">
        <v>330</v>
      </c>
      <c r="D204"/>
      <c r="E204" s="3"/>
      <c r="K204"/>
    </row>
    <row r="205" spans="1:11" x14ac:dyDescent="0.25">
      <c r="A205" t="s">
        <v>307</v>
      </c>
      <c r="B205" t="s">
        <v>331</v>
      </c>
      <c r="D205"/>
      <c r="E205" s="3"/>
      <c r="K205"/>
    </row>
    <row r="206" spans="1:11" x14ac:dyDescent="0.25">
      <c r="A206" t="s">
        <v>307</v>
      </c>
      <c r="B206" s="9" t="s">
        <v>332</v>
      </c>
      <c r="C206" s="16" t="s">
        <v>333</v>
      </c>
      <c r="D206" s="16"/>
      <c r="E206" s="3"/>
      <c r="K206"/>
    </row>
    <row r="207" spans="1:11" x14ac:dyDescent="0.25">
      <c r="A207" t="s">
        <v>307</v>
      </c>
      <c r="B207" s="9" t="s">
        <v>332</v>
      </c>
      <c r="C207" s="9" t="s">
        <v>334</v>
      </c>
      <c r="D207" s="9"/>
      <c r="E207" s="3"/>
      <c r="K207"/>
    </row>
    <row r="208" spans="1:11" x14ac:dyDescent="0.25">
      <c r="A208" t="s">
        <v>307</v>
      </c>
      <c r="B208" s="9" t="s">
        <v>335</v>
      </c>
      <c r="C208" s="9"/>
      <c r="D208" s="9"/>
      <c r="E208" s="3"/>
      <c r="K208"/>
    </row>
    <row r="209" spans="1:11" x14ac:dyDescent="0.25">
      <c r="A209" t="s">
        <v>307</v>
      </c>
      <c r="B209" s="9" t="s">
        <v>336</v>
      </c>
      <c r="C209" s="9" t="s">
        <v>337</v>
      </c>
      <c r="D209" s="9"/>
      <c r="E209" s="3"/>
      <c r="K209"/>
    </row>
    <row r="210" spans="1:11" x14ac:dyDescent="0.25">
      <c r="A210" t="s">
        <v>307</v>
      </c>
      <c r="B210" s="9" t="s">
        <v>338</v>
      </c>
      <c r="C210" s="9" t="s">
        <v>339</v>
      </c>
      <c r="D210" s="9"/>
      <c r="E210" s="3"/>
      <c r="F210" s="8"/>
      <c r="G210" s="12"/>
      <c r="K210"/>
    </row>
    <row r="211" spans="1:11" x14ac:dyDescent="0.25">
      <c r="A211" t="s">
        <v>307</v>
      </c>
      <c r="B211" s="9" t="s">
        <v>336</v>
      </c>
      <c r="C211" s="9" t="s">
        <v>340</v>
      </c>
      <c r="D211" s="9"/>
      <c r="E211" s="3"/>
      <c r="K211"/>
    </row>
    <row r="212" spans="1:11" x14ac:dyDescent="0.25">
      <c r="A212" t="s">
        <v>307</v>
      </c>
      <c r="B212" s="9" t="s">
        <v>336</v>
      </c>
      <c r="C212" s="9" t="s">
        <v>341</v>
      </c>
      <c r="D212" s="9"/>
      <c r="E212" s="3"/>
      <c r="K212"/>
    </row>
    <row r="213" spans="1:11" x14ac:dyDescent="0.25">
      <c r="A213" t="s">
        <v>307</v>
      </c>
      <c r="B213" s="9" t="s">
        <v>342</v>
      </c>
      <c r="C213" s="9"/>
      <c r="D213" s="9"/>
      <c r="E213" s="3"/>
      <c r="K213"/>
    </row>
    <row r="214" spans="1:11" x14ac:dyDescent="0.25">
      <c r="A214" t="s">
        <v>307</v>
      </c>
      <c r="B214" s="9" t="s">
        <v>343</v>
      </c>
      <c r="C214" s="9"/>
      <c r="D214" s="9"/>
      <c r="E214" s="3"/>
      <c r="K214"/>
    </row>
    <row r="215" spans="1:11" x14ac:dyDescent="0.25">
      <c r="A215" t="s">
        <v>307</v>
      </c>
      <c r="B215" s="9" t="s">
        <v>344</v>
      </c>
      <c r="C215" s="9"/>
      <c r="D215" s="9"/>
      <c r="E215" s="3"/>
      <c r="K215"/>
    </row>
    <row r="216" spans="1:11" x14ac:dyDescent="0.25">
      <c r="A216" t="s">
        <v>307</v>
      </c>
      <c r="B216" s="9" t="s">
        <v>345</v>
      </c>
      <c r="C216" s="9" t="s">
        <v>346</v>
      </c>
      <c r="D216" s="9"/>
      <c r="E216" s="3"/>
      <c r="K216"/>
    </row>
    <row r="217" spans="1:11" x14ac:dyDescent="0.25">
      <c r="A217" t="s">
        <v>307</v>
      </c>
      <c r="B217" t="s">
        <v>347</v>
      </c>
      <c r="C217" t="s">
        <v>348</v>
      </c>
      <c r="D217"/>
      <c r="E217" s="3"/>
      <c r="K217"/>
    </row>
    <row r="218" spans="1:11" x14ac:dyDescent="0.25">
      <c r="A218" t="s">
        <v>307</v>
      </c>
      <c r="B218" t="s">
        <v>347</v>
      </c>
      <c r="C218" t="s">
        <v>349</v>
      </c>
      <c r="D218"/>
      <c r="E218" s="3"/>
      <c r="K218"/>
    </row>
    <row r="219" spans="1:11" x14ac:dyDescent="0.25">
      <c r="A219" t="s">
        <v>307</v>
      </c>
      <c r="B219" t="s">
        <v>350</v>
      </c>
      <c r="C219" t="s">
        <v>351</v>
      </c>
      <c r="D219"/>
      <c r="E219" s="3"/>
      <c r="K219"/>
    </row>
    <row r="220" spans="1:11" x14ac:dyDescent="0.25">
      <c r="A220" t="s">
        <v>307</v>
      </c>
      <c r="B220" t="s">
        <v>350</v>
      </c>
      <c r="C220" t="s">
        <v>352</v>
      </c>
      <c r="D220"/>
      <c r="E220" s="3"/>
      <c r="K220"/>
    </row>
    <row r="221" spans="1:11" x14ac:dyDescent="0.25">
      <c r="A221" t="s">
        <v>307</v>
      </c>
      <c r="B221" t="s">
        <v>350</v>
      </c>
      <c r="C221" t="s">
        <v>353</v>
      </c>
      <c r="D221"/>
      <c r="E221" s="3"/>
      <c r="K221"/>
    </row>
    <row r="222" spans="1:11" x14ac:dyDescent="0.25">
      <c r="A222" t="s">
        <v>354</v>
      </c>
      <c r="B222" t="s">
        <v>355</v>
      </c>
      <c r="C222" s="16" t="s">
        <v>356</v>
      </c>
      <c r="D222" s="16"/>
      <c r="E222" s="3"/>
      <c r="K222"/>
    </row>
    <row r="223" spans="1:11" x14ac:dyDescent="0.25">
      <c r="A223" t="s">
        <v>354</v>
      </c>
      <c r="B223" t="s">
        <v>355</v>
      </c>
      <c r="C223" s="16" t="s">
        <v>357</v>
      </c>
      <c r="D223" s="16"/>
      <c r="E223" s="3"/>
      <c r="K223"/>
    </row>
    <row r="224" spans="1:11" x14ac:dyDescent="0.25">
      <c r="A224" t="s">
        <v>354</v>
      </c>
      <c r="B224" t="s">
        <v>355</v>
      </c>
      <c r="C224" s="16" t="s">
        <v>358</v>
      </c>
      <c r="D224" s="16"/>
      <c r="E224" s="3"/>
      <c r="K224"/>
    </row>
    <row r="225" spans="1:11" x14ac:dyDescent="0.25">
      <c r="A225" t="s">
        <v>354</v>
      </c>
      <c r="B225" t="s">
        <v>355</v>
      </c>
      <c r="C225" s="16" t="s">
        <v>359</v>
      </c>
      <c r="D225" s="16"/>
      <c r="E225" s="3"/>
      <c r="K225"/>
    </row>
    <row r="226" spans="1:11" x14ac:dyDescent="0.25">
      <c r="A226" t="s">
        <v>354</v>
      </c>
      <c r="B226" t="s">
        <v>355</v>
      </c>
      <c r="C226" s="16" t="s">
        <v>360</v>
      </c>
      <c r="D226" s="16"/>
      <c r="E226" s="3"/>
      <c r="K226"/>
    </row>
    <row r="227" spans="1:11" x14ac:dyDescent="0.25">
      <c r="A227" t="s">
        <v>354</v>
      </c>
      <c r="B227" t="s">
        <v>355</v>
      </c>
      <c r="C227" s="16" t="s">
        <v>361</v>
      </c>
      <c r="D227" s="16"/>
      <c r="E227" s="3"/>
      <c r="K227"/>
    </row>
    <row r="228" spans="1:11" x14ac:dyDescent="0.25">
      <c r="A228" t="s">
        <v>354</v>
      </c>
      <c r="B228" t="s">
        <v>362</v>
      </c>
      <c r="C228" s="9"/>
      <c r="D228" s="9"/>
      <c r="E228" s="3"/>
      <c r="K228"/>
    </row>
    <row r="229" spans="1:11" x14ac:dyDescent="0.25">
      <c r="A229" t="s">
        <v>354</v>
      </c>
      <c r="B229" t="s">
        <v>363</v>
      </c>
      <c r="C229" s="16" t="s">
        <v>364</v>
      </c>
      <c r="D229" s="16"/>
      <c r="E229" s="3"/>
      <c r="K229"/>
    </row>
    <row r="230" spans="1:11" x14ac:dyDescent="0.25">
      <c r="A230" t="s">
        <v>354</v>
      </c>
      <c r="B230" t="s">
        <v>363</v>
      </c>
      <c r="C230" s="9" t="s">
        <v>365</v>
      </c>
      <c r="D230" s="9"/>
      <c r="E230" s="3"/>
      <c r="K230"/>
    </row>
    <row r="231" spans="1:11" x14ac:dyDescent="0.25">
      <c r="A231" t="s">
        <v>354</v>
      </c>
      <c r="B231" t="s">
        <v>363</v>
      </c>
      <c r="C231" s="9" t="s">
        <v>366</v>
      </c>
      <c r="D231" s="9"/>
      <c r="E231" s="3"/>
      <c r="K231"/>
    </row>
    <row r="232" spans="1:11" x14ac:dyDescent="0.25">
      <c r="A232" t="s">
        <v>354</v>
      </c>
      <c r="B232" t="s">
        <v>363</v>
      </c>
      <c r="C232" s="16" t="s">
        <v>367</v>
      </c>
      <c r="D232" s="16"/>
      <c r="E232" s="3"/>
      <c r="K232"/>
    </row>
    <row r="233" spans="1:11" x14ac:dyDescent="0.25">
      <c r="A233" t="s">
        <v>354</v>
      </c>
      <c r="B233" t="s">
        <v>368</v>
      </c>
      <c r="C233" s="9"/>
      <c r="D233" s="9"/>
      <c r="E233" s="3"/>
      <c r="K233"/>
    </row>
    <row r="234" spans="1:11" x14ac:dyDescent="0.25">
      <c r="A234" t="s">
        <v>354</v>
      </c>
      <c r="B234" t="s">
        <v>369</v>
      </c>
      <c r="C234" t="s">
        <v>370</v>
      </c>
      <c r="D234"/>
      <c r="E234" s="3"/>
      <c r="K234"/>
    </row>
    <row r="235" spans="1:11" x14ac:dyDescent="0.25">
      <c r="A235" t="s">
        <v>354</v>
      </c>
      <c r="B235" t="s">
        <v>369</v>
      </c>
      <c r="C235" t="s">
        <v>371</v>
      </c>
      <c r="D235"/>
      <c r="E235" s="3"/>
      <c r="K235"/>
    </row>
    <row r="236" spans="1:11" x14ac:dyDescent="0.25">
      <c r="A236" t="s">
        <v>354</v>
      </c>
      <c r="B236" t="s">
        <v>372</v>
      </c>
      <c r="C236" s="9" t="s">
        <v>373</v>
      </c>
      <c r="D236" s="9"/>
      <c r="E236" s="3"/>
      <c r="K236"/>
    </row>
    <row r="237" spans="1:11" x14ac:dyDescent="0.25">
      <c r="A237" t="s">
        <v>354</v>
      </c>
      <c r="B237" t="s">
        <v>372</v>
      </c>
      <c r="C237" s="17" t="s">
        <v>374</v>
      </c>
      <c r="D237" s="17"/>
      <c r="E237" s="3"/>
      <c r="K237"/>
    </row>
    <row r="238" spans="1:11" x14ac:dyDescent="0.25">
      <c r="A238" t="s">
        <v>354</v>
      </c>
      <c r="B238" t="s">
        <v>372</v>
      </c>
      <c r="C238" s="16" t="s">
        <v>375</v>
      </c>
      <c r="D238" s="16"/>
      <c r="E238" s="3"/>
      <c r="K238"/>
    </row>
    <row r="239" spans="1:11" x14ac:dyDescent="0.25">
      <c r="A239" t="s">
        <v>354</v>
      </c>
      <c r="B239" t="s">
        <v>372</v>
      </c>
      <c r="C239" s="16" t="s">
        <v>376</v>
      </c>
      <c r="D239" s="16"/>
      <c r="E239" s="3"/>
      <c r="K239"/>
    </row>
    <row r="240" spans="1:11" x14ac:dyDescent="0.25">
      <c r="A240" t="s">
        <v>354</v>
      </c>
      <c r="B240" t="s">
        <v>372</v>
      </c>
      <c r="C240" s="9" t="s">
        <v>377</v>
      </c>
      <c r="D240" s="9"/>
      <c r="E240" s="3"/>
      <c r="K240"/>
    </row>
    <row r="241" spans="1:11" x14ac:dyDescent="0.25">
      <c r="A241" t="s">
        <v>354</v>
      </c>
      <c r="B241" t="s">
        <v>372</v>
      </c>
      <c r="C241" s="9" t="s">
        <v>378</v>
      </c>
      <c r="D241" s="9"/>
      <c r="E241" s="3"/>
      <c r="K241"/>
    </row>
    <row r="242" spans="1:11" x14ac:dyDescent="0.25">
      <c r="A242" t="s">
        <v>354</v>
      </c>
      <c r="B242" t="s">
        <v>372</v>
      </c>
      <c r="C242" s="16" t="s">
        <v>379</v>
      </c>
      <c r="D242" s="16"/>
      <c r="E242" s="3"/>
      <c r="K242"/>
    </row>
    <row r="243" spans="1:11" x14ac:dyDescent="0.25">
      <c r="A243" t="s">
        <v>354</v>
      </c>
      <c r="B243" t="s">
        <v>380</v>
      </c>
      <c r="C243" s="9"/>
      <c r="D243" s="9"/>
      <c r="E243" s="3"/>
      <c r="K243"/>
    </row>
    <row r="244" spans="1:11" x14ac:dyDescent="0.25">
      <c r="A244" t="s">
        <v>354</v>
      </c>
      <c r="B244" t="s">
        <v>381</v>
      </c>
      <c r="C244" s="9"/>
      <c r="D244" s="9"/>
      <c r="E244" s="3"/>
      <c r="K244"/>
    </row>
    <row r="245" spans="1:11" x14ac:dyDescent="0.25">
      <c r="A245" s="9" t="s">
        <v>382</v>
      </c>
      <c r="B245" s="9" t="s">
        <v>383</v>
      </c>
      <c r="C245" t="s">
        <v>384</v>
      </c>
      <c r="D245"/>
      <c r="E245" s="3"/>
      <c r="K245"/>
    </row>
    <row r="246" spans="1:11" x14ac:dyDescent="0.25">
      <c r="A246" s="9" t="s">
        <v>382</v>
      </c>
      <c r="B246" s="9" t="s">
        <v>383</v>
      </c>
      <c r="C246" s="9" t="s">
        <v>385</v>
      </c>
      <c r="D246" s="9"/>
      <c r="E246" s="3"/>
      <c r="K246"/>
    </row>
    <row r="247" spans="1:11" x14ac:dyDescent="0.25">
      <c r="A247" s="9" t="s">
        <v>382</v>
      </c>
      <c r="B247" s="16" t="s">
        <v>386</v>
      </c>
      <c r="C247" s="16" t="s">
        <v>387</v>
      </c>
      <c r="D247" s="16"/>
      <c r="E247" s="3"/>
      <c r="K247"/>
    </row>
    <row r="248" spans="1:11" x14ac:dyDescent="0.25">
      <c r="A248" s="9" t="s">
        <v>382</v>
      </c>
      <c r="B248" s="16" t="s">
        <v>386</v>
      </c>
      <c r="C248" s="16" t="s">
        <v>388</v>
      </c>
      <c r="D248" s="16"/>
      <c r="E248" s="3"/>
      <c r="K248"/>
    </row>
    <row r="249" spans="1:11" x14ac:dyDescent="0.25">
      <c r="A249" s="9" t="s">
        <v>382</v>
      </c>
      <c r="B249" s="16" t="s">
        <v>386</v>
      </c>
      <c r="C249" s="16" t="s">
        <v>389</v>
      </c>
      <c r="D249" s="16"/>
      <c r="E249" s="3"/>
      <c r="K249"/>
    </row>
    <row r="250" spans="1:11" x14ac:dyDescent="0.25">
      <c r="A250" s="9" t="s">
        <v>382</v>
      </c>
      <c r="B250" s="16" t="s">
        <v>386</v>
      </c>
      <c r="C250" s="16" t="s">
        <v>390</v>
      </c>
      <c r="D250" s="16"/>
      <c r="E250" s="3"/>
      <c r="K250"/>
    </row>
    <row r="251" spans="1:11" x14ac:dyDescent="0.25">
      <c r="A251" s="9" t="s">
        <v>382</v>
      </c>
      <c r="B251" s="16" t="s">
        <v>386</v>
      </c>
      <c r="C251" s="16" t="s">
        <v>391</v>
      </c>
      <c r="D251" s="16"/>
      <c r="E251" s="3"/>
      <c r="K251"/>
    </row>
    <row r="252" spans="1:11" x14ac:dyDescent="0.25">
      <c r="A252" s="9" t="s">
        <v>382</v>
      </c>
      <c r="B252" s="9" t="s">
        <v>392</v>
      </c>
      <c r="C252" s="16" t="s">
        <v>393</v>
      </c>
      <c r="D252" s="3" t="s">
        <v>394</v>
      </c>
      <c r="K252"/>
    </row>
    <row r="253" spans="1:11" x14ac:dyDescent="0.25">
      <c r="A253" s="9" t="s">
        <v>382</v>
      </c>
      <c r="B253" s="9" t="s">
        <v>392</v>
      </c>
      <c r="C253" s="9" t="s">
        <v>395</v>
      </c>
      <c r="D253" s="9"/>
      <c r="E253" s="3"/>
      <c r="K253"/>
    </row>
    <row r="254" spans="1:11" x14ac:dyDescent="0.25">
      <c r="A254" t="s">
        <v>354</v>
      </c>
      <c r="B254" t="s">
        <v>396</v>
      </c>
      <c r="C254" s="9" t="s">
        <v>397</v>
      </c>
      <c r="D254" s="9"/>
      <c r="E254" s="3"/>
      <c r="K254"/>
    </row>
    <row r="255" spans="1:11" x14ac:dyDescent="0.25">
      <c r="A255" t="s">
        <v>354</v>
      </c>
      <c r="B255" t="s">
        <v>398</v>
      </c>
      <c r="C255" s="9"/>
      <c r="D255" s="9"/>
      <c r="E255" s="3"/>
      <c r="K255"/>
    </row>
    <row r="256" spans="1:11" x14ac:dyDescent="0.25">
      <c r="A256" s="9" t="s">
        <v>399</v>
      </c>
      <c r="B256" s="9" t="s">
        <v>400</v>
      </c>
      <c r="C256" s="18"/>
      <c r="D256" s="18"/>
      <c r="E256" s="3"/>
      <c r="K256"/>
    </row>
    <row r="257" spans="1:11" x14ac:dyDescent="0.25">
      <c r="A257" s="9" t="s">
        <v>399</v>
      </c>
      <c r="B257" s="9" t="s">
        <v>401</v>
      </c>
      <c r="C257" s="5"/>
      <c r="D257" s="5"/>
      <c r="E257" s="3"/>
      <c r="K257"/>
    </row>
    <row r="258" spans="1:11" x14ac:dyDescent="0.25">
      <c r="A258" s="9" t="s">
        <v>399</v>
      </c>
      <c r="B258" s="9" t="s">
        <v>402</v>
      </c>
      <c r="C258" s="5"/>
      <c r="D258" s="5"/>
      <c r="E258" s="3"/>
      <c r="K258"/>
    </row>
    <row r="259" spans="1:11" x14ac:dyDescent="0.25">
      <c r="A259" s="9" t="s">
        <v>399</v>
      </c>
      <c r="B259" s="9" t="s">
        <v>403</v>
      </c>
      <c r="C259" s="5"/>
      <c r="D259" s="5"/>
      <c r="E259" s="3"/>
      <c r="K259"/>
    </row>
    <row r="260" spans="1:11" x14ac:dyDescent="0.25">
      <c r="A260" s="9" t="s">
        <v>399</v>
      </c>
      <c r="B260" s="9" t="s">
        <v>404</v>
      </c>
      <c r="C260" s="5"/>
      <c r="D260" s="5"/>
      <c r="E260" s="3"/>
      <c r="K260"/>
    </row>
    <row r="261" spans="1:11" x14ac:dyDescent="0.25">
      <c r="A261" s="9" t="s">
        <v>399</v>
      </c>
      <c r="B261" s="9" t="s">
        <v>405</v>
      </c>
      <c r="C261" s="5"/>
      <c r="D261" s="5"/>
      <c r="E261" s="3"/>
      <c r="K261"/>
    </row>
    <row r="262" spans="1:11" x14ac:dyDescent="0.25">
      <c r="A262" s="9" t="s">
        <v>399</v>
      </c>
      <c r="B262" s="9" t="s">
        <v>406</v>
      </c>
      <c r="C262" s="3" t="s">
        <v>407</v>
      </c>
      <c r="E262" s="3"/>
      <c r="K262"/>
    </row>
    <row r="263" spans="1:11" x14ac:dyDescent="0.25">
      <c r="A263" s="9" t="s">
        <v>399</v>
      </c>
      <c r="B263" s="9" t="s">
        <v>406</v>
      </c>
      <c r="C263" s="3" t="s">
        <v>408</v>
      </c>
      <c r="E263" s="3"/>
      <c r="K263"/>
    </row>
    <row r="264" spans="1:11" x14ac:dyDescent="0.25">
      <c r="A264" s="9" t="s">
        <v>409</v>
      </c>
      <c r="B264" s="9" t="s">
        <v>410</v>
      </c>
      <c r="C264" s="5"/>
      <c r="D264" s="5"/>
      <c r="E264" s="3"/>
      <c r="K264"/>
    </row>
    <row r="265" spans="1:11" x14ac:dyDescent="0.25">
      <c r="A265" s="9" t="s">
        <v>409</v>
      </c>
      <c r="B265" s="9" t="s">
        <v>411</v>
      </c>
      <c r="C265" s="5"/>
      <c r="D265" s="5"/>
      <c r="E265" s="3"/>
      <c r="K265"/>
    </row>
    <row r="266" spans="1:11" x14ac:dyDescent="0.25">
      <c r="A266" s="9" t="s">
        <v>409</v>
      </c>
      <c r="B266" s="9" t="s">
        <v>412</v>
      </c>
      <c r="C266" s="5"/>
      <c r="D266" s="5"/>
      <c r="E266" s="3"/>
      <c r="K266"/>
    </row>
    <row r="267" spans="1:11" x14ac:dyDescent="0.25">
      <c r="A267" s="9" t="s">
        <v>409</v>
      </c>
      <c r="B267" s="9" t="s">
        <v>413</v>
      </c>
      <c r="C267" s="5"/>
      <c r="D267" s="5"/>
      <c r="E267" s="3"/>
      <c r="K267"/>
    </row>
    <row r="268" spans="1:11" x14ac:dyDescent="0.25">
      <c r="A268" s="9" t="s">
        <v>409</v>
      </c>
      <c r="B268" s="9" t="s">
        <v>414</v>
      </c>
      <c r="C268" s="5"/>
      <c r="D268" s="5"/>
      <c r="E268" s="3"/>
      <c r="K268"/>
    </row>
    <row r="269" spans="1:11" x14ac:dyDescent="0.25">
      <c r="A269" s="9" t="s">
        <v>415</v>
      </c>
      <c r="B269" s="9" t="s">
        <v>416</v>
      </c>
      <c r="D269"/>
      <c r="E269" s="3"/>
      <c r="K269"/>
    </row>
    <row r="270" spans="1:11" x14ac:dyDescent="0.25">
      <c r="A270" s="9" t="s">
        <v>415</v>
      </c>
      <c r="B270" s="9" t="s">
        <v>417</v>
      </c>
      <c r="D270"/>
      <c r="E270" s="3"/>
      <c r="K270"/>
    </row>
    <row r="271" spans="1:11" x14ac:dyDescent="0.25">
      <c r="A271" s="9" t="s">
        <v>415</v>
      </c>
      <c r="B271" s="9" t="s">
        <v>418</v>
      </c>
      <c r="D271"/>
      <c r="E271" s="3"/>
      <c r="K271"/>
    </row>
    <row r="272" spans="1:11" x14ac:dyDescent="0.25">
      <c r="A272" s="9" t="s">
        <v>415</v>
      </c>
      <c r="B272" s="9" t="s">
        <v>419</v>
      </c>
      <c r="D272"/>
      <c r="E272" s="3"/>
      <c r="K272"/>
    </row>
    <row r="273" spans="1:11" x14ac:dyDescent="0.25">
      <c r="A273" s="9" t="s">
        <v>415</v>
      </c>
      <c r="B273" s="9" t="s">
        <v>420</v>
      </c>
      <c r="D273"/>
      <c r="E273" s="3"/>
      <c r="K273"/>
    </row>
    <row r="274" spans="1:11" x14ac:dyDescent="0.25">
      <c r="A274" s="9" t="s">
        <v>415</v>
      </c>
      <c r="B274" s="9" t="s">
        <v>421</v>
      </c>
      <c r="D274"/>
      <c r="E274" s="3"/>
      <c r="K274"/>
    </row>
    <row r="275" spans="1:11" x14ac:dyDescent="0.25">
      <c r="A275" s="9" t="s">
        <v>415</v>
      </c>
      <c r="B275" s="9" t="s">
        <v>382</v>
      </c>
      <c r="D275"/>
      <c r="E275" s="3"/>
      <c r="K275"/>
    </row>
    <row r="276" spans="1:11" x14ac:dyDescent="0.25">
      <c r="A276" s="9" t="s">
        <v>415</v>
      </c>
      <c r="B276" s="9" t="s">
        <v>399</v>
      </c>
      <c r="D276"/>
      <c r="E276" s="3"/>
      <c r="K276"/>
    </row>
    <row r="277" spans="1:11" x14ac:dyDescent="0.25">
      <c r="A277" s="9" t="s">
        <v>415</v>
      </c>
      <c r="B277" s="9" t="s">
        <v>422</v>
      </c>
      <c r="D277"/>
      <c r="E277" s="3"/>
      <c r="K277"/>
    </row>
    <row r="278" spans="1:11" x14ac:dyDescent="0.25">
      <c r="A278" s="9" t="s">
        <v>415</v>
      </c>
      <c r="B278" s="9" t="s">
        <v>423</v>
      </c>
      <c r="D278"/>
      <c r="E278" s="3"/>
      <c r="K278"/>
    </row>
    <row r="279" spans="1:11" x14ac:dyDescent="0.25">
      <c r="A279" s="9" t="s">
        <v>415</v>
      </c>
      <c r="B279" s="9" t="s">
        <v>424</v>
      </c>
      <c r="D279"/>
      <c r="E279" s="3"/>
      <c r="K279"/>
    </row>
    <row r="280" spans="1:11" x14ac:dyDescent="0.25">
      <c r="A280" s="9" t="s">
        <v>415</v>
      </c>
      <c r="B280" s="9" t="s">
        <v>425</v>
      </c>
      <c r="D280"/>
      <c r="E280" s="3"/>
      <c r="K280"/>
    </row>
    <row r="281" spans="1:11" x14ac:dyDescent="0.25">
      <c r="A281" s="9" t="s">
        <v>415</v>
      </c>
      <c r="B281" s="9" t="s">
        <v>426</v>
      </c>
      <c r="D281"/>
      <c r="E281" s="3"/>
      <c r="K281"/>
    </row>
    <row r="282" spans="1:11" x14ac:dyDescent="0.25">
      <c r="A282" s="9" t="s">
        <v>415</v>
      </c>
      <c r="B282" s="9" t="s">
        <v>427</v>
      </c>
      <c r="D282"/>
      <c r="E282" s="3"/>
      <c r="K282"/>
    </row>
    <row r="283" spans="1:11" x14ac:dyDescent="0.25">
      <c r="A283" t="s">
        <v>428</v>
      </c>
      <c r="B283" t="s">
        <v>429</v>
      </c>
      <c r="C283" t="s">
        <v>430</v>
      </c>
      <c r="D283"/>
      <c r="E283" s="3"/>
      <c r="K283"/>
    </row>
    <row r="284" spans="1:11" x14ac:dyDescent="0.25">
      <c r="A284" t="s">
        <v>428</v>
      </c>
      <c r="B284" t="s">
        <v>429</v>
      </c>
      <c r="C284" t="s">
        <v>431</v>
      </c>
      <c r="D284"/>
      <c r="E284" s="3"/>
      <c r="K284"/>
    </row>
    <row r="285" spans="1:11" x14ac:dyDescent="0.25">
      <c r="A285" t="s">
        <v>428</v>
      </c>
      <c r="B285" t="s">
        <v>429</v>
      </c>
      <c r="C285" t="s">
        <v>432</v>
      </c>
      <c r="D285"/>
      <c r="E285" s="3"/>
      <c r="K285"/>
    </row>
    <row r="286" spans="1:11" x14ac:dyDescent="0.25">
      <c r="A286" t="s">
        <v>428</v>
      </c>
      <c r="B286" t="s">
        <v>429</v>
      </c>
      <c r="C286" t="s">
        <v>132</v>
      </c>
      <c r="D286"/>
      <c r="E286" s="3"/>
      <c r="K286"/>
    </row>
    <row r="287" spans="1:11" x14ac:dyDescent="0.25">
      <c r="A287" t="s">
        <v>428</v>
      </c>
      <c r="B287" t="s">
        <v>429</v>
      </c>
      <c r="C287" t="s">
        <v>433</v>
      </c>
      <c r="D287"/>
      <c r="E287" s="3"/>
      <c r="K287"/>
    </row>
    <row r="288" spans="1:11" x14ac:dyDescent="0.25">
      <c r="A288" t="s">
        <v>428</v>
      </c>
      <c r="B288" t="s">
        <v>429</v>
      </c>
      <c r="C288" t="s">
        <v>434</v>
      </c>
      <c r="D288"/>
      <c r="E288" s="3"/>
      <c r="K288"/>
    </row>
    <row r="289" spans="1:11" x14ac:dyDescent="0.25">
      <c r="A289" t="s">
        <v>428</v>
      </c>
      <c r="B289" t="s">
        <v>429</v>
      </c>
      <c r="C289" t="s">
        <v>435</v>
      </c>
      <c r="D289"/>
      <c r="E289" s="3"/>
      <c r="K289"/>
    </row>
    <row r="290" spans="1:11" x14ac:dyDescent="0.25">
      <c r="A290" t="s">
        <v>428</v>
      </c>
      <c r="B290" t="s">
        <v>436</v>
      </c>
      <c r="C290" t="s">
        <v>430</v>
      </c>
      <c r="D290"/>
      <c r="E290" s="3"/>
      <c r="K290"/>
    </row>
    <row r="291" spans="1:11" x14ac:dyDescent="0.25">
      <c r="A291" t="s">
        <v>428</v>
      </c>
      <c r="B291" t="s">
        <v>436</v>
      </c>
      <c r="C291" t="s">
        <v>431</v>
      </c>
      <c r="D291"/>
      <c r="E291" s="3"/>
      <c r="K291"/>
    </row>
    <row r="292" spans="1:11" x14ac:dyDescent="0.25">
      <c r="A292" t="s">
        <v>428</v>
      </c>
      <c r="B292" t="s">
        <v>436</v>
      </c>
      <c r="C292" t="s">
        <v>432</v>
      </c>
      <c r="D292"/>
      <c r="E292" s="3"/>
      <c r="K292"/>
    </row>
    <row r="293" spans="1:11" x14ac:dyDescent="0.25">
      <c r="A293" t="s">
        <v>428</v>
      </c>
      <c r="B293" t="s">
        <v>436</v>
      </c>
      <c r="C293" t="s">
        <v>132</v>
      </c>
      <c r="D293"/>
      <c r="E293" s="3"/>
      <c r="K293"/>
    </row>
    <row r="294" spans="1:11" x14ac:dyDescent="0.25">
      <c r="A294" t="s">
        <v>428</v>
      </c>
      <c r="B294" t="s">
        <v>436</v>
      </c>
      <c r="C294" t="s">
        <v>433</v>
      </c>
      <c r="D294"/>
      <c r="E294" s="3"/>
      <c r="K294"/>
    </row>
    <row r="295" spans="1:11" x14ac:dyDescent="0.25">
      <c r="A295" t="s">
        <v>428</v>
      </c>
      <c r="B295" t="s">
        <v>436</v>
      </c>
      <c r="C295" t="s">
        <v>434</v>
      </c>
      <c r="D295"/>
      <c r="E295" s="3"/>
      <c r="K295"/>
    </row>
    <row r="296" spans="1:11" x14ac:dyDescent="0.25">
      <c r="A296" t="s">
        <v>428</v>
      </c>
      <c r="B296" t="s">
        <v>436</v>
      </c>
      <c r="C296" t="s">
        <v>435</v>
      </c>
      <c r="D296"/>
      <c r="E296" s="3"/>
      <c r="K296"/>
    </row>
    <row r="297" spans="1:11" x14ac:dyDescent="0.25">
      <c r="A297" t="s">
        <v>428</v>
      </c>
      <c r="B297" t="s">
        <v>437</v>
      </c>
      <c r="C297" t="s">
        <v>430</v>
      </c>
      <c r="D297"/>
      <c r="E297" s="3"/>
      <c r="K297"/>
    </row>
    <row r="298" spans="1:11" x14ac:dyDescent="0.25">
      <c r="A298" t="s">
        <v>428</v>
      </c>
      <c r="B298" t="s">
        <v>437</v>
      </c>
      <c r="C298" t="s">
        <v>431</v>
      </c>
      <c r="D298"/>
      <c r="E298" s="3"/>
      <c r="K298"/>
    </row>
    <row r="299" spans="1:11" x14ac:dyDescent="0.25">
      <c r="A299" t="s">
        <v>428</v>
      </c>
      <c r="B299" t="s">
        <v>437</v>
      </c>
      <c r="C299" t="s">
        <v>432</v>
      </c>
      <c r="D299"/>
      <c r="E299" s="3"/>
      <c r="K299"/>
    </row>
    <row r="300" spans="1:11" x14ac:dyDescent="0.25">
      <c r="A300" t="s">
        <v>428</v>
      </c>
      <c r="B300" t="s">
        <v>437</v>
      </c>
      <c r="C300" t="s">
        <v>433</v>
      </c>
      <c r="D300"/>
      <c r="E300" s="3"/>
      <c r="K300"/>
    </row>
    <row r="301" spans="1:11" x14ac:dyDescent="0.25">
      <c r="A301" t="s">
        <v>428</v>
      </c>
      <c r="B301" t="s">
        <v>437</v>
      </c>
      <c r="C301" t="s">
        <v>132</v>
      </c>
      <c r="D301"/>
      <c r="E301" s="3"/>
      <c r="K301"/>
    </row>
    <row r="302" spans="1:11" x14ac:dyDescent="0.25">
      <c r="A302" t="s">
        <v>428</v>
      </c>
      <c r="B302" t="s">
        <v>437</v>
      </c>
      <c r="C302" t="s">
        <v>434</v>
      </c>
      <c r="D302"/>
      <c r="E302" s="3"/>
      <c r="K302"/>
    </row>
    <row r="303" spans="1:11" x14ac:dyDescent="0.25">
      <c r="A303" t="s">
        <v>428</v>
      </c>
      <c r="B303" t="s">
        <v>437</v>
      </c>
      <c r="C303" t="s">
        <v>435</v>
      </c>
      <c r="D303"/>
      <c r="E303" s="3"/>
      <c r="K303"/>
    </row>
    <row r="304" spans="1:11" x14ac:dyDescent="0.25">
      <c r="A304" t="s">
        <v>428</v>
      </c>
      <c r="B304" t="s">
        <v>438</v>
      </c>
      <c r="C304" t="s">
        <v>430</v>
      </c>
      <c r="D304"/>
      <c r="E304" s="3"/>
      <c r="K304"/>
    </row>
    <row r="305" spans="1:11" x14ac:dyDescent="0.25">
      <c r="A305" t="s">
        <v>428</v>
      </c>
      <c r="B305" t="s">
        <v>438</v>
      </c>
      <c r="C305" t="s">
        <v>431</v>
      </c>
      <c r="D305"/>
      <c r="E305" s="3"/>
      <c r="K305"/>
    </row>
    <row r="306" spans="1:11" x14ac:dyDescent="0.25">
      <c r="A306" t="s">
        <v>428</v>
      </c>
      <c r="B306" t="s">
        <v>438</v>
      </c>
      <c r="C306" t="s">
        <v>432</v>
      </c>
      <c r="D306"/>
      <c r="E306" s="3"/>
      <c r="K306"/>
    </row>
    <row r="307" spans="1:11" x14ac:dyDescent="0.25">
      <c r="A307" t="s">
        <v>428</v>
      </c>
      <c r="B307" t="s">
        <v>438</v>
      </c>
      <c r="C307" t="s">
        <v>132</v>
      </c>
      <c r="D307"/>
      <c r="E307" s="3"/>
      <c r="K307"/>
    </row>
    <row r="308" spans="1:11" x14ac:dyDescent="0.25">
      <c r="A308" t="s">
        <v>428</v>
      </c>
      <c r="B308" t="s">
        <v>438</v>
      </c>
      <c r="C308" t="s">
        <v>433</v>
      </c>
      <c r="D308"/>
      <c r="E308" s="3"/>
      <c r="K308"/>
    </row>
    <row r="309" spans="1:11" x14ac:dyDescent="0.25">
      <c r="A309" t="s">
        <v>428</v>
      </c>
      <c r="B309" t="s">
        <v>438</v>
      </c>
      <c r="C309" t="s">
        <v>434</v>
      </c>
      <c r="D309"/>
      <c r="E309" s="3"/>
      <c r="K309"/>
    </row>
    <row r="310" spans="1:11" x14ac:dyDescent="0.25">
      <c r="A310" t="s">
        <v>428</v>
      </c>
      <c r="B310" t="s">
        <v>438</v>
      </c>
      <c r="C310" t="s">
        <v>435</v>
      </c>
      <c r="D310"/>
      <c r="E310" s="3"/>
      <c r="K310"/>
    </row>
    <row r="311" spans="1:11" x14ac:dyDescent="0.25">
      <c r="A311" t="s">
        <v>439</v>
      </c>
      <c r="B311" t="s">
        <v>440</v>
      </c>
      <c r="C311" t="s">
        <v>441</v>
      </c>
      <c r="D311"/>
      <c r="E311" s="3"/>
      <c r="K311"/>
    </row>
    <row r="312" spans="1:11" x14ac:dyDescent="0.25">
      <c r="A312" t="s">
        <v>439</v>
      </c>
      <c r="B312" t="s">
        <v>440</v>
      </c>
      <c r="C312" t="s">
        <v>40</v>
      </c>
      <c r="D312"/>
      <c r="E312" s="3"/>
      <c r="K312"/>
    </row>
    <row r="313" spans="1:11" x14ac:dyDescent="0.25">
      <c r="A313" t="s">
        <v>439</v>
      </c>
      <c r="B313" t="s">
        <v>440</v>
      </c>
      <c r="C313" t="s">
        <v>58</v>
      </c>
      <c r="D313"/>
      <c r="E313" s="3"/>
      <c r="K313"/>
    </row>
    <row r="314" spans="1:11" x14ac:dyDescent="0.25">
      <c r="A314" t="s">
        <v>439</v>
      </c>
      <c r="B314" t="s">
        <v>440</v>
      </c>
      <c r="C314" t="s">
        <v>67</v>
      </c>
      <c r="D314"/>
      <c r="E314" s="3"/>
      <c r="K314"/>
    </row>
    <row r="315" spans="1:11" x14ac:dyDescent="0.25">
      <c r="A315" t="s">
        <v>439</v>
      </c>
      <c r="B315" t="s">
        <v>440</v>
      </c>
      <c r="C315" t="s">
        <v>83</v>
      </c>
      <c r="D315"/>
      <c r="E315" s="3"/>
      <c r="K315"/>
    </row>
    <row r="316" spans="1:11" x14ac:dyDescent="0.25">
      <c r="A316" t="s">
        <v>439</v>
      </c>
      <c r="B316" t="s">
        <v>442</v>
      </c>
      <c r="C316" t="s">
        <v>441</v>
      </c>
      <c r="D316"/>
      <c r="E316" s="3"/>
      <c r="K316"/>
    </row>
    <row r="317" spans="1:11" x14ac:dyDescent="0.25">
      <c r="A317" t="s">
        <v>439</v>
      </c>
      <c r="B317" t="s">
        <v>442</v>
      </c>
      <c r="C317" t="s">
        <v>40</v>
      </c>
      <c r="D317"/>
      <c r="E317" s="3"/>
      <c r="K317"/>
    </row>
    <row r="318" spans="1:11" x14ac:dyDescent="0.25">
      <c r="A318" t="s">
        <v>439</v>
      </c>
      <c r="B318" t="s">
        <v>442</v>
      </c>
      <c r="C318" t="s">
        <v>58</v>
      </c>
      <c r="D318"/>
      <c r="E318" s="3"/>
      <c r="K318"/>
    </row>
    <row r="319" spans="1:11" x14ac:dyDescent="0.25">
      <c r="A319" t="s">
        <v>439</v>
      </c>
      <c r="B319" t="s">
        <v>442</v>
      </c>
      <c r="C319" t="s">
        <v>67</v>
      </c>
      <c r="D319"/>
      <c r="E319" s="3"/>
      <c r="K319"/>
    </row>
    <row r="320" spans="1:11" x14ac:dyDescent="0.25">
      <c r="A320" t="s">
        <v>439</v>
      </c>
      <c r="B320" t="s">
        <v>442</v>
      </c>
      <c r="C320" t="s">
        <v>83</v>
      </c>
      <c r="D320"/>
      <c r="E320" s="3"/>
      <c r="K320"/>
    </row>
    <row r="321" spans="1:11" x14ac:dyDescent="0.25">
      <c r="A321" t="s">
        <v>439</v>
      </c>
      <c r="B321" t="s">
        <v>443</v>
      </c>
      <c r="C321" t="s">
        <v>441</v>
      </c>
      <c r="D321"/>
      <c r="E321" s="3"/>
      <c r="K321"/>
    </row>
    <row r="322" spans="1:11" x14ac:dyDescent="0.25">
      <c r="A322" t="s">
        <v>439</v>
      </c>
      <c r="B322" t="s">
        <v>443</v>
      </c>
      <c r="C322" t="s">
        <v>40</v>
      </c>
      <c r="D322"/>
      <c r="E322" s="3"/>
      <c r="K322"/>
    </row>
    <row r="323" spans="1:11" x14ac:dyDescent="0.25">
      <c r="A323" t="s">
        <v>439</v>
      </c>
      <c r="B323" t="s">
        <v>443</v>
      </c>
      <c r="C323" t="s">
        <v>58</v>
      </c>
      <c r="D323"/>
      <c r="E323" s="3"/>
      <c r="K323"/>
    </row>
    <row r="324" spans="1:11" x14ac:dyDescent="0.25">
      <c r="A324" t="s">
        <v>439</v>
      </c>
      <c r="B324" t="s">
        <v>443</v>
      </c>
      <c r="C324" t="s">
        <v>67</v>
      </c>
      <c r="D324"/>
      <c r="E324" s="3"/>
      <c r="K324"/>
    </row>
    <row r="325" spans="1:11" x14ac:dyDescent="0.25">
      <c r="A325" t="s">
        <v>439</v>
      </c>
      <c r="B325" t="s">
        <v>443</v>
      </c>
      <c r="C325" t="s">
        <v>83</v>
      </c>
      <c r="D325"/>
      <c r="E325" s="3"/>
      <c r="K325"/>
    </row>
    <row r="326" spans="1:11" x14ac:dyDescent="0.25">
      <c r="A326" t="s">
        <v>439</v>
      </c>
      <c r="B326" t="s">
        <v>444</v>
      </c>
      <c r="C326" t="s">
        <v>441</v>
      </c>
      <c r="D326"/>
      <c r="E326" s="3"/>
      <c r="K326"/>
    </row>
    <row r="327" spans="1:11" x14ac:dyDescent="0.25">
      <c r="A327" t="s">
        <v>439</v>
      </c>
      <c r="B327" t="s">
        <v>444</v>
      </c>
      <c r="C327" t="s">
        <v>40</v>
      </c>
      <c r="D327"/>
      <c r="E327" s="3"/>
      <c r="K327"/>
    </row>
    <row r="328" spans="1:11" x14ac:dyDescent="0.25">
      <c r="A328" t="s">
        <v>439</v>
      </c>
      <c r="B328" t="s">
        <v>444</v>
      </c>
      <c r="C328" t="s">
        <v>58</v>
      </c>
      <c r="D328"/>
      <c r="E328" s="3"/>
      <c r="K328"/>
    </row>
    <row r="329" spans="1:11" x14ac:dyDescent="0.25">
      <c r="A329" t="s">
        <v>439</v>
      </c>
      <c r="B329" t="s">
        <v>444</v>
      </c>
      <c r="C329" t="s">
        <v>67</v>
      </c>
      <c r="D329"/>
      <c r="E329" s="3"/>
      <c r="K329"/>
    </row>
    <row r="330" spans="1:11" x14ac:dyDescent="0.25">
      <c r="A330" t="s">
        <v>439</v>
      </c>
      <c r="B330" t="s">
        <v>444</v>
      </c>
      <c r="C330" t="s">
        <v>83</v>
      </c>
      <c r="D330"/>
      <c r="E330" s="3"/>
      <c r="K330"/>
    </row>
    <row r="331" spans="1:11" x14ac:dyDescent="0.25">
      <c r="A331" t="s">
        <v>445</v>
      </c>
      <c r="B331" t="s">
        <v>446</v>
      </c>
      <c r="C331" t="s">
        <v>447</v>
      </c>
      <c r="D331"/>
      <c r="E331" s="3"/>
      <c r="K331"/>
    </row>
    <row r="332" spans="1:11" x14ac:dyDescent="0.25">
      <c r="A332" t="s">
        <v>445</v>
      </c>
      <c r="B332" t="s">
        <v>446</v>
      </c>
      <c r="C332" t="s">
        <v>448</v>
      </c>
      <c r="D332"/>
      <c r="E332" s="3"/>
      <c r="K332"/>
    </row>
    <row r="333" spans="1:11" x14ac:dyDescent="0.25">
      <c r="A333" t="s">
        <v>445</v>
      </c>
      <c r="B333" t="s">
        <v>446</v>
      </c>
      <c r="C333" t="s">
        <v>449</v>
      </c>
      <c r="D333"/>
      <c r="E333" s="3"/>
      <c r="K333"/>
    </row>
    <row r="334" spans="1:11" x14ac:dyDescent="0.25">
      <c r="A334" t="s">
        <v>445</v>
      </c>
      <c r="B334" t="s">
        <v>446</v>
      </c>
      <c r="C334" t="s">
        <v>450</v>
      </c>
      <c r="D334"/>
      <c r="E334" s="3"/>
      <c r="K334"/>
    </row>
    <row r="335" spans="1:11" x14ac:dyDescent="0.25">
      <c r="A335" t="s">
        <v>445</v>
      </c>
      <c r="B335" t="s">
        <v>446</v>
      </c>
      <c r="C335" t="s">
        <v>451</v>
      </c>
      <c r="D335"/>
      <c r="E335" s="3"/>
      <c r="K335"/>
    </row>
    <row r="336" spans="1:11" x14ac:dyDescent="0.25">
      <c r="A336" t="s">
        <v>445</v>
      </c>
      <c r="B336" t="s">
        <v>446</v>
      </c>
      <c r="C336" t="s">
        <v>452</v>
      </c>
      <c r="D336"/>
      <c r="E336" s="3"/>
      <c r="K336"/>
    </row>
    <row r="337" spans="1:11" x14ac:dyDescent="0.25">
      <c r="A337" t="s">
        <v>445</v>
      </c>
      <c r="B337" t="s">
        <v>446</v>
      </c>
      <c r="C337" t="s">
        <v>453</v>
      </c>
      <c r="D337"/>
      <c r="E337" s="3"/>
      <c r="K337"/>
    </row>
    <row r="338" spans="1:11" x14ac:dyDescent="0.25">
      <c r="A338" t="s">
        <v>445</v>
      </c>
      <c r="B338" t="s">
        <v>446</v>
      </c>
      <c r="C338" t="s">
        <v>454</v>
      </c>
      <c r="D338"/>
      <c r="E338" s="3"/>
      <c r="K338"/>
    </row>
    <row r="339" spans="1:11" x14ac:dyDescent="0.25">
      <c r="A339" t="s">
        <v>445</v>
      </c>
      <c r="B339" t="s">
        <v>455</v>
      </c>
      <c r="C339" t="s">
        <v>447</v>
      </c>
      <c r="D339"/>
      <c r="E339" s="3"/>
      <c r="K339"/>
    </row>
    <row r="340" spans="1:11" x14ac:dyDescent="0.25">
      <c r="A340" t="s">
        <v>445</v>
      </c>
      <c r="B340" t="s">
        <v>455</v>
      </c>
      <c r="C340" t="s">
        <v>448</v>
      </c>
      <c r="D340"/>
      <c r="E340" s="3"/>
      <c r="K340"/>
    </row>
    <row r="341" spans="1:11" x14ac:dyDescent="0.25">
      <c r="A341" t="s">
        <v>445</v>
      </c>
      <c r="B341" t="s">
        <v>455</v>
      </c>
      <c r="C341" t="s">
        <v>456</v>
      </c>
      <c r="D341"/>
      <c r="E341" s="3"/>
      <c r="K341"/>
    </row>
    <row r="342" spans="1:11" x14ac:dyDescent="0.25">
      <c r="A342" t="s">
        <v>445</v>
      </c>
      <c r="B342" t="s">
        <v>455</v>
      </c>
      <c r="C342" t="s">
        <v>449</v>
      </c>
      <c r="D342"/>
      <c r="E342" s="3"/>
      <c r="K342"/>
    </row>
    <row r="343" spans="1:11" x14ac:dyDescent="0.25">
      <c r="A343" t="s">
        <v>445</v>
      </c>
      <c r="B343" t="s">
        <v>455</v>
      </c>
      <c r="C343" t="s">
        <v>450</v>
      </c>
      <c r="D343"/>
      <c r="E343" s="3"/>
      <c r="K343"/>
    </row>
    <row r="344" spans="1:11" x14ac:dyDescent="0.25">
      <c r="A344" t="s">
        <v>445</v>
      </c>
      <c r="B344" t="s">
        <v>455</v>
      </c>
      <c r="C344" t="s">
        <v>452</v>
      </c>
      <c r="D344"/>
      <c r="E344" s="3"/>
      <c r="K344"/>
    </row>
    <row r="345" spans="1:11" x14ac:dyDescent="0.25">
      <c r="A345" t="s">
        <v>445</v>
      </c>
      <c r="B345" t="s">
        <v>455</v>
      </c>
      <c r="C345" t="s">
        <v>453</v>
      </c>
      <c r="D345"/>
      <c r="E345" s="3"/>
      <c r="K345"/>
    </row>
    <row r="346" spans="1:11" x14ac:dyDescent="0.25">
      <c r="A346" t="s">
        <v>445</v>
      </c>
      <c r="B346" t="s">
        <v>455</v>
      </c>
      <c r="C346" t="s">
        <v>454</v>
      </c>
      <c r="D346"/>
      <c r="E346" s="3"/>
      <c r="K346"/>
    </row>
    <row r="347" spans="1:11" x14ac:dyDescent="0.25">
      <c r="A347" t="s">
        <v>445</v>
      </c>
      <c r="B347" t="s">
        <v>457</v>
      </c>
      <c r="C347" t="s">
        <v>447</v>
      </c>
      <c r="D347"/>
      <c r="E347" s="3"/>
      <c r="K347"/>
    </row>
    <row r="348" spans="1:11" x14ac:dyDescent="0.25">
      <c r="A348" t="s">
        <v>445</v>
      </c>
      <c r="B348" t="s">
        <v>457</v>
      </c>
      <c r="C348" t="s">
        <v>448</v>
      </c>
      <c r="D348"/>
      <c r="E348" s="3"/>
      <c r="K348"/>
    </row>
    <row r="349" spans="1:11" x14ac:dyDescent="0.25">
      <c r="A349" t="s">
        <v>445</v>
      </c>
      <c r="B349" t="s">
        <v>457</v>
      </c>
      <c r="C349" t="s">
        <v>449</v>
      </c>
      <c r="D349"/>
      <c r="E349" s="3"/>
      <c r="K349"/>
    </row>
    <row r="350" spans="1:11" x14ac:dyDescent="0.25">
      <c r="A350" t="s">
        <v>445</v>
      </c>
      <c r="B350" t="s">
        <v>457</v>
      </c>
      <c r="C350" t="s">
        <v>450</v>
      </c>
      <c r="D350"/>
      <c r="E350" s="3"/>
      <c r="K350"/>
    </row>
    <row r="351" spans="1:11" x14ac:dyDescent="0.25">
      <c r="A351" t="s">
        <v>445</v>
      </c>
      <c r="B351" t="s">
        <v>457</v>
      </c>
      <c r="C351" t="s">
        <v>451</v>
      </c>
      <c r="D351"/>
      <c r="E351" s="3"/>
      <c r="K351"/>
    </row>
    <row r="352" spans="1:11" x14ac:dyDescent="0.25">
      <c r="A352" t="s">
        <v>445</v>
      </c>
      <c r="B352" t="s">
        <v>457</v>
      </c>
      <c r="C352" t="s">
        <v>452</v>
      </c>
      <c r="D352"/>
      <c r="E352" s="3"/>
      <c r="K352"/>
    </row>
    <row r="353" spans="1:11" x14ac:dyDescent="0.25">
      <c r="A353" t="s">
        <v>445</v>
      </c>
      <c r="B353" t="s">
        <v>457</v>
      </c>
      <c r="C353" t="s">
        <v>453</v>
      </c>
      <c r="D353"/>
      <c r="E353" s="3"/>
      <c r="K353"/>
    </row>
    <row r="354" spans="1:11" x14ac:dyDescent="0.25">
      <c r="A354" t="s">
        <v>445</v>
      </c>
      <c r="B354" t="s">
        <v>457</v>
      </c>
      <c r="C354" t="s">
        <v>454</v>
      </c>
      <c r="D354"/>
      <c r="E354" s="3"/>
      <c r="K354"/>
    </row>
    <row r="355" spans="1:11" x14ac:dyDescent="0.25">
      <c r="A355" t="s">
        <v>445</v>
      </c>
      <c r="B355" t="s">
        <v>458</v>
      </c>
      <c r="C355" t="s">
        <v>447</v>
      </c>
      <c r="D355"/>
      <c r="E355" s="3"/>
      <c r="K355"/>
    </row>
    <row r="356" spans="1:11" x14ac:dyDescent="0.25">
      <c r="A356" t="s">
        <v>445</v>
      </c>
      <c r="B356" t="s">
        <v>458</v>
      </c>
      <c r="C356" t="s">
        <v>448</v>
      </c>
      <c r="D356"/>
      <c r="E356" s="3"/>
      <c r="K356"/>
    </row>
    <row r="357" spans="1:11" x14ac:dyDescent="0.25">
      <c r="A357" t="s">
        <v>445</v>
      </c>
      <c r="B357" t="s">
        <v>458</v>
      </c>
      <c r="C357" t="s">
        <v>456</v>
      </c>
      <c r="D357"/>
      <c r="E357" s="3"/>
      <c r="K357"/>
    </row>
    <row r="358" spans="1:11" x14ac:dyDescent="0.25">
      <c r="A358" t="s">
        <v>445</v>
      </c>
      <c r="B358" t="s">
        <v>458</v>
      </c>
      <c r="C358" t="s">
        <v>449</v>
      </c>
      <c r="D358"/>
      <c r="E358" s="3"/>
      <c r="K358"/>
    </row>
    <row r="359" spans="1:11" x14ac:dyDescent="0.25">
      <c r="A359" t="s">
        <v>445</v>
      </c>
      <c r="B359" t="s">
        <v>458</v>
      </c>
      <c r="C359" t="s">
        <v>450</v>
      </c>
      <c r="D359"/>
      <c r="E359" s="3"/>
      <c r="K359"/>
    </row>
    <row r="360" spans="1:11" x14ac:dyDescent="0.25">
      <c r="A360" t="s">
        <v>445</v>
      </c>
      <c r="B360" t="s">
        <v>458</v>
      </c>
      <c r="C360" t="s">
        <v>451</v>
      </c>
      <c r="D360"/>
      <c r="E360" s="3"/>
      <c r="K360"/>
    </row>
    <row r="361" spans="1:11" x14ac:dyDescent="0.25">
      <c r="A361" t="s">
        <v>445</v>
      </c>
      <c r="B361" t="s">
        <v>458</v>
      </c>
      <c r="C361" t="s">
        <v>452</v>
      </c>
      <c r="D361"/>
      <c r="E361" s="3"/>
      <c r="K361"/>
    </row>
    <row r="362" spans="1:11" x14ac:dyDescent="0.25">
      <c r="A362" t="s">
        <v>445</v>
      </c>
      <c r="B362" t="s">
        <v>458</v>
      </c>
      <c r="C362" t="s">
        <v>453</v>
      </c>
      <c r="D362"/>
      <c r="E362" s="3"/>
      <c r="K362"/>
    </row>
    <row r="363" spans="1:11" x14ac:dyDescent="0.25">
      <c r="A363" t="s">
        <v>445</v>
      </c>
      <c r="B363" t="s">
        <v>458</v>
      </c>
      <c r="C363" t="s">
        <v>454</v>
      </c>
      <c r="D363"/>
      <c r="E363" s="3"/>
      <c r="K363"/>
    </row>
    <row r="364" spans="1:11" x14ac:dyDescent="0.25">
      <c r="A364" s="9" t="s">
        <v>459</v>
      </c>
      <c r="B364" s="9" t="s">
        <v>460</v>
      </c>
      <c r="C364" s="5"/>
      <c r="D364" s="5"/>
      <c r="E364" s="3"/>
      <c r="K364"/>
    </row>
    <row r="365" spans="1:11" x14ac:dyDescent="0.25">
      <c r="A365" s="9" t="s">
        <v>459</v>
      </c>
      <c r="B365" s="9" t="s">
        <v>461</v>
      </c>
      <c r="C365" s="5"/>
      <c r="D365" s="5"/>
      <c r="E365" s="3"/>
      <c r="K365"/>
    </row>
    <row r="366" spans="1:11" x14ac:dyDescent="0.25">
      <c r="A366" s="9" t="s">
        <v>459</v>
      </c>
      <c r="B366" s="9" t="s">
        <v>462</v>
      </c>
      <c r="C366" s="3"/>
      <c r="E366" s="5"/>
      <c r="K366"/>
    </row>
    <row r="367" spans="1:11" x14ac:dyDescent="0.25">
      <c r="A367" s="9" t="s">
        <v>459</v>
      </c>
      <c r="B367" s="9" t="s">
        <v>463</v>
      </c>
      <c r="C367" s="5"/>
      <c r="D367" s="5"/>
      <c r="E367" s="3"/>
      <c r="K367"/>
    </row>
    <row r="368" spans="1:11" x14ac:dyDescent="0.25">
      <c r="A368" s="9" t="s">
        <v>459</v>
      </c>
      <c r="B368" s="9" t="s">
        <v>464</v>
      </c>
      <c r="C368" s="3"/>
      <c r="E368" s="5"/>
      <c r="K368"/>
    </row>
    <row r="369" spans="1:12" x14ac:dyDescent="0.25">
      <c r="A369" s="9" t="s">
        <v>459</v>
      </c>
      <c r="B369" s="9" t="s">
        <v>465</v>
      </c>
      <c r="C369" s="5"/>
      <c r="D369" s="5"/>
      <c r="E369" s="3"/>
      <c r="K369"/>
    </row>
    <row r="370" spans="1:12" x14ac:dyDescent="0.25">
      <c r="A370" s="9" t="s">
        <v>459</v>
      </c>
      <c r="B370" s="9" t="s">
        <v>466</v>
      </c>
      <c r="C370" s="3"/>
      <c r="E370" s="5"/>
      <c r="K370"/>
    </row>
    <row r="371" spans="1:12" x14ac:dyDescent="0.25">
      <c r="A371" s="9" t="s">
        <v>459</v>
      </c>
      <c r="B371" s="9" t="s">
        <v>467</v>
      </c>
      <c r="C371" s="3"/>
      <c r="E371" s="5"/>
      <c r="K371"/>
    </row>
    <row r="372" spans="1:12" x14ac:dyDescent="0.25">
      <c r="A372" s="9" t="s">
        <v>459</v>
      </c>
      <c r="B372" s="9" t="s">
        <v>468</v>
      </c>
      <c r="C372" s="5"/>
      <c r="D372" s="5"/>
      <c r="E372" s="3"/>
      <c r="K372"/>
    </row>
    <row r="373" spans="1:12" x14ac:dyDescent="0.25">
      <c r="A373" s="9" t="s">
        <v>459</v>
      </c>
      <c r="B373" s="9" t="s">
        <v>469</v>
      </c>
      <c r="C373" s="5"/>
      <c r="D373" s="5"/>
      <c r="E373" s="3"/>
      <c r="K373"/>
    </row>
    <row r="374" spans="1:12" x14ac:dyDescent="0.25">
      <c r="A374" s="9" t="s">
        <v>459</v>
      </c>
      <c r="B374" s="9" t="s">
        <v>470</v>
      </c>
      <c r="C374" s="3"/>
      <c r="E374" s="5"/>
      <c r="K374"/>
    </row>
    <row r="375" spans="1:12" x14ac:dyDescent="0.25">
      <c r="A375" s="9" t="s">
        <v>459</v>
      </c>
      <c r="B375" s="9" t="s">
        <v>471</v>
      </c>
      <c r="C375" s="3"/>
      <c r="E375" s="5"/>
      <c r="K375"/>
    </row>
    <row r="376" spans="1:12" x14ac:dyDescent="0.25">
      <c r="A376" s="9" t="s">
        <v>459</v>
      </c>
      <c r="B376" s="9" t="s">
        <v>472</v>
      </c>
      <c r="C376" s="5"/>
      <c r="D376" s="5"/>
      <c r="E376" s="3"/>
      <c r="K376"/>
    </row>
    <row r="377" spans="1:12" x14ac:dyDescent="0.25">
      <c r="A377" t="s">
        <v>473</v>
      </c>
      <c r="D377"/>
      <c r="E377" s="3"/>
      <c r="K377"/>
    </row>
    <row r="378" spans="1:12" x14ac:dyDescent="0.25">
      <c r="A378" s="9"/>
      <c r="B378" s="9"/>
    </row>
    <row r="379" spans="1:12" x14ac:dyDescent="0.25">
      <c r="A379" s="9"/>
      <c r="B379" s="9"/>
    </row>
    <row r="380" spans="1:12" ht="14.45" customHeight="1" x14ac:dyDescent="0.25">
      <c r="D380"/>
      <c r="K380"/>
      <c r="L380"/>
    </row>
    <row r="381" spans="1:12" ht="14.45" customHeight="1" x14ac:dyDescent="0.25">
      <c r="D381"/>
      <c r="K381"/>
      <c r="L381"/>
    </row>
    <row r="382" spans="1:12" ht="14.45" customHeight="1" x14ac:dyDescent="0.25">
      <c r="D382"/>
      <c r="K382"/>
      <c r="L382"/>
    </row>
    <row r="383" spans="1:12" ht="14.45" customHeight="1" x14ac:dyDescent="0.25">
      <c r="D383"/>
      <c r="K383"/>
      <c r="L383"/>
    </row>
    <row r="384" spans="1:12" ht="14.45" customHeight="1" x14ac:dyDescent="0.25">
      <c r="D384"/>
      <c r="K384"/>
      <c r="L384"/>
    </row>
    <row r="385" spans="4:12" ht="14.45" customHeight="1" x14ac:dyDescent="0.25">
      <c r="D385"/>
      <c r="K385"/>
      <c r="L385"/>
    </row>
    <row r="386" spans="4:12" ht="14.45" customHeight="1" x14ac:dyDescent="0.25">
      <c r="D386"/>
      <c r="K386"/>
      <c r="L386"/>
    </row>
    <row r="387" spans="4:12" ht="14.45" customHeight="1" x14ac:dyDescent="0.25">
      <c r="D387"/>
      <c r="K387"/>
      <c r="L387"/>
    </row>
    <row r="388" spans="4:12" ht="14.45" customHeight="1" x14ac:dyDescent="0.25">
      <c r="D388"/>
      <c r="K388"/>
      <c r="L388"/>
    </row>
    <row r="389" spans="4:12" ht="14.45" customHeight="1" x14ac:dyDescent="0.25">
      <c r="D389"/>
      <c r="K389"/>
      <c r="L389"/>
    </row>
    <row r="390" spans="4:12" ht="14.45" customHeight="1" x14ac:dyDescent="0.25">
      <c r="D390"/>
      <c r="K390"/>
      <c r="L390"/>
    </row>
    <row r="391" spans="4:12" ht="14.45" customHeight="1" x14ac:dyDescent="0.25">
      <c r="D391"/>
      <c r="K391"/>
      <c r="L391"/>
    </row>
    <row r="392" spans="4:12" ht="14.45" customHeight="1" x14ac:dyDescent="0.25">
      <c r="D392"/>
      <c r="E392" s="3"/>
      <c r="K392"/>
      <c r="L392"/>
    </row>
    <row r="393" spans="4:12" ht="14.45" customHeight="1" x14ac:dyDescent="0.25">
      <c r="D393"/>
      <c r="K393"/>
      <c r="L393"/>
    </row>
    <row r="394" spans="4:12" ht="14.45" customHeight="1" x14ac:dyDescent="0.25">
      <c r="D394"/>
      <c r="K394"/>
      <c r="L394"/>
    </row>
    <row r="395" spans="4:12" ht="14.45" customHeight="1" x14ac:dyDescent="0.25">
      <c r="D395"/>
      <c r="K395"/>
      <c r="L395"/>
    </row>
    <row r="396" spans="4:12" ht="14.45" customHeight="1" x14ac:dyDescent="0.25">
      <c r="D396"/>
      <c r="K396"/>
      <c r="L396"/>
    </row>
    <row r="397" spans="4:12" ht="14.45" customHeight="1" x14ac:dyDescent="0.25">
      <c r="D397"/>
    </row>
    <row r="398" spans="4:12" ht="14.45" customHeight="1" x14ac:dyDescent="0.25">
      <c r="D398"/>
    </row>
    <row r="399" spans="4:12" ht="14.45" customHeight="1" x14ac:dyDescent="0.25">
      <c r="D399"/>
    </row>
    <row r="400" spans="4:12" ht="14.45" customHeight="1" x14ac:dyDescent="0.25">
      <c r="D400"/>
      <c r="E400" s="3"/>
    </row>
    <row r="401" spans="4:5" ht="14.45" customHeight="1" x14ac:dyDescent="0.25">
      <c r="D401"/>
      <c r="E401" s="3"/>
    </row>
    <row r="402" spans="4:5" ht="14.45" customHeight="1" x14ac:dyDescent="0.25">
      <c r="D402"/>
      <c r="E402" s="3"/>
    </row>
    <row r="403" spans="4:5" ht="14.45" customHeight="1" x14ac:dyDescent="0.25">
      <c r="D403"/>
      <c r="E403" s="3"/>
    </row>
    <row r="404" spans="4:5" ht="14.45" customHeight="1" x14ac:dyDescent="0.25">
      <c r="D404"/>
      <c r="E404" s="3"/>
    </row>
    <row r="405" spans="4:5" ht="14.45" customHeight="1" x14ac:dyDescent="0.25">
      <c r="D405"/>
      <c r="E405" s="3"/>
    </row>
    <row r="406" spans="4:5" ht="14.45" customHeight="1" x14ac:dyDescent="0.25">
      <c r="D406"/>
      <c r="E406" s="3"/>
    </row>
    <row r="407" spans="4:5" ht="14.45" customHeight="1" x14ac:dyDescent="0.25">
      <c r="D407"/>
      <c r="E407" s="3"/>
    </row>
    <row r="408" spans="4:5" ht="14.45" customHeight="1" x14ac:dyDescent="0.25">
      <c r="D408"/>
      <c r="E408" s="3"/>
    </row>
    <row r="409" spans="4:5" ht="14.45" customHeight="1" x14ac:dyDescent="0.25">
      <c r="D409"/>
      <c r="E409" s="3"/>
    </row>
    <row r="410" spans="4:5" ht="14.45" customHeight="1" x14ac:dyDescent="0.25">
      <c r="D410"/>
      <c r="E410" s="3"/>
    </row>
    <row r="411" spans="4:5" ht="14.45" customHeight="1" x14ac:dyDescent="0.25">
      <c r="D411"/>
      <c r="E411" s="3"/>
    </row>
    <row r="412" spans="4:5" ht="14.45" customHeight="1" x14ac:dyDescent="0.25">
      <c r="D412"/>
      <c r="E412" s="3"/>
    </row>
    <row r="413" spans="4:5" ht="14.45" customHeight="1" x14ac:dyDescent="0.25">
      <c r="D413"/>
      <c r="E413" s="3"/>
    </row>
  </sheetData>
  <sortState xmlns:xlrd2="http://schemas.microsoft.com/office/spreadsheetml/2017/richdata2" ref="A2:E363">
    <sortCondition ref="A2:A363"/>
    <sortCondition ref="B2:B363"/>
    <sortCondition ref="C2:C363"/>
  </sortState>
  <pageMargins left="0.25" right="0.25" top="0.75" bottom="0.75" header="0.3" footer="0.3"/>
  <pageSetup scale="66" fitToHeight="0" orientation="landscape"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89A6-0998-4BEE-AC54-88C196910133}">
  <dimension ref="A1:F85"/>
  <sheetViews>
    <sheetView showZeros="0" zoomScale="140" zoomScaleNormal="140" workbookViewId="0">
      <selection activeCell="E22" sqref="E22"/>
    </sheetView>
  </sheetViews>
  <sheetFormatPr defaultRowHeight="15" x14ac:dyDescent="0.25"/>
  <cols>
    <col min="1" max="1" width="20.140625" customWidth="1"/>
    <col min="6" max="6" width="50" bestFit="1" customWidth="1"/>
  </cols>
  <sheetData>
    <row r="1" spans="1:6" x14ac:dyDescent="0.25">
      <c r="A1" s="2" t="s">
        <v>474</v>
      </c>
      <c r="F1" t="s">
        <v>475</v>
      </c>
    </row>
    <row r="2" spans="1:6" x14ac:dyDescent="0.25">
      <c r="A2" t="s">
        <v>195</v>
      </c>
      <c r="F2" t="s">
        <v>476</v>
      </c>
    </row>
    <row r="3" spans="1:6" x14ac:dyDescent="0.25">
      <c r="A3" t="s">
        <v>477</v>
      </c>
      <c r="F3" t="s">
        <v>478</v>
      </c>
    </row>
    <row r="4" spans="1:6" x14ac:dyDescent="0.25">
      <c r="A4" t="s">
        <v>479</v>
      </c>
      <c r="F4" t="s">
        <v>480</v>
      </c>
    </row>
    <row r="5" spans="1:6" x14ac:dyDescent="0.25">
      <c r="F5" t="s">
        <v>481</v>
      </c>
    </row>
    <row r="6" spans="1:6" x14ac:dyDescent="0.25">
      <c r="A6" t="s">
        <v>198</v>
      </c>
      <c r="F6" t="s">
        <v>482</v>
      </c>
    </row>
    <row r="7" spans="1:6" x14ac:dyDescent="0.25">
      <c r="A7" t="s">
        <v>483</v>
      </c>
      <c r="F7" t="s">
        <v>484</v>
      </c>
    </row>
    <row r="8" spans="1:6" x14ac:dyDescent="0.25">
      <c r="A8" t="s">
        <v>485</v>
      </c>
      <c r="F8" t="s">
        <v>486</v>
      </c>
    </row>
    <row r="9" spans="1:6" x14ac:dyDescent="0.25">
      <c r="A9" t="s">
        <v>487</v>
      </c>
      <c r="F9" t="s">
        <v>488</v>
      </c>
    </row>
    <row r="10" spans="1:6" x14ac:dyDescent="0.25">
      <c r="F10" t="s">
        <v>489</v>
      </c>
    </row>
    <row r="11" spans="1:6" x14ac:dyDescent="0.25">
      <c r="A11" t="s">
        <v>490</v>
      </c>
      <c r="F11" t="s">
        <v>491</v>
      </c>
    </row>
    <row r="12" spans="1:6" x14ac:dyDescent="0.25">
      <c r="F12" t="s">
        <v>492</v>
      </c>
    </row>
    <row r="13" spans="1:6" x14ac:dyDescent="0.25">
      <c r="A13" t="s">
        <v>203</v>
      </c>
      <c r="F13" t="s">
        <v>493</v>
      </c>
    </row>
    <row r="14" spans="1:6" x14ac:dyDescent="0.25">
      <c r="F14" t="s">
        <v>494</v>
      </c>
    </row>
    <row r="15" spans="1:6" x14ac:dyDescent="0.25">
      <c r="A15" t="s">
        <v>204</v>
      </c>
      <c r="F15" t="s">
        <v>495</v>
      </c>
    </row>
    <row r="16" spans="1:6" x14ac:dyDescent="0.25">
      <c r="A16" t="s">
        <v>496</v>
      </c>
    </row>
    <row r="17" spans="1:6" x14ac:dyDescent="0.25">
      <c r="A17" t="s">
        <v>497</v>
      </c>
      <c r="F17" t="s">
        <v>498</v>
      </c>
    </row>
    <row r="18" spans="1:6" x14ac:dyDescent="0.25">
      <c r="F18" t="s">
        <v>499</v>
      </c>
    </row>
    <row r="19" spans="1:6" x14ac:dyDescent="0.25">
      <c r="A19" t="s">
        <v>207</v>
      </c>
      <c r="F19" t="s">
        <v>500</v>
      </c>
    </row>
    <row r="20" spans="1:6" x14ac:dyDescent="0.25">
      <c r="F20" t="s">
        <v>501</v>
      </c>
    </row>
    <row r="21" spans="1:6" x14ac:dyDescent="0.25">
      <c r="A21" t="s">
        <v>208</v>
      </c>
      <c r="F21" t="s">
        <v>502</v>
      </c>
    </row>
    <row r="22" spans="1:6" x14ac:dyDescent="0.25">
      <c r="A22" t="s">
        <v>209</v>
      </c>
      <c r="F22" t="s">
        <v>503</v>
      </c>
    </row>
    <row r="23" spans="1:6" x14ac:dyDescent="0.25">
      <c r="A23" t="s">
        <v>210</v>
      </c>
      <c r="F23" t="s">
        <v>504</v>
      </c>
    </row>
    <row r="24" spans="1:6" x14ac:dyDescent="0.25">
      <c r="A24" t="s">
        <v>211</v>
      </c>
    </row>
    <row r="25" spans="1:6" x14ac:dyDescent="0.25">
      <c r="A25" t="s">
        <v>212</v>
      </c>
      <c r="F25" t="s">
        <v>505</v>
      </c>
    </row>
    <row r="26" spans="1:6" x14ac:dyDescent="0.25">
      <c r="A26" t="s">
        <v>213</v>
      </c>
      <c r="F26" t="s">
        <v>506</v>
      </c>
    </row>
    <row r="27" spans="1:6" x14ac:dyDescent="0.25">
      <c r="A27" t="s">
        <v>214</v>
      </c>
      <c r="F27" t="s">
        <v>507</v>
      </c>
    </row>
    <row r="28" spans="1:6" x14ac:dyDescent="0.25">
      <c r="F28" t="s">
        <v>508</v>
      </c>
    </row>
    <row r="29" spans="1:6" x14ac:dyDescent="0.25">
      <c r="A29" t="s">
        <v>215</v>
      </c>
      <c r="F29" t="s">
        <v>509</v>
      </c>
    </row>
    <row r="30" spans="1:6" x14ac:dyDescent="0.25">
      <c r="F30" t="s">
        <v>510</v>
      </c>
    </row>
    <row r="31" spans="1:6" x14ac:dyDescent="0.25">
      <c r="A31" t="s">
        <v>216</v>
      </c>
      <c r="F31" t="s">
        <v>511</v>
      </c>
    </row>
    <row r="32" spans="1:6" x14ac:dyDescent="0.25">
      <c r="A32" t="s">
        <v>512</v>
      </c>
      <c r="F32" t="s">
        <v>513</v>
      </c>
    </row>
    <row r="33" spans="1:6" x14ac:dyDescent="0.25">
      <c r="A33" t="s">
        <v>514</v>
      </c>
      <c r="F33" t="s">
        <v>515</v>
      </c>
    </row>
    <row r="34" spans="1:6" x14ac:dyDescent="0.25">
      <c r="F34" t="s">
        <v>516</v>
      </c>
    </row>
    <row r="35" spans="1:6" x14ac:dyDescent="0.25">
      <c r="A35" t="s">
        <v>219</v>
      </c>
      <c r="F35" t="s">
        <v>517</v>
      </c>
    </row>
    <row r="36" spans="1:6" x14ac:dyDescent="0.25">
      <c r="A36" t="s">
        <v>518</v>
      </c>
      <c r="F36" t="s">
        <v>519</v>
      </c>
    </row>
    <row r="37" spans="1:6" x14ac:dyDescent="0.25">
      <c r="A37" t="s">
        <v>520</v>
      </c>
    </row>
    <row r="38" spans="1:6" x14ac:dyDescent="0.25">
      <c r="A38" t="s">
        <v>222</v>
      </c>
      <c r="F38" t="s">
        <v>521</v>
      </c>
    </row>
    <row r="39" spans="1:6" x14ac:dyDescent="0.25">
      <c r="A39" t="s">
        <v>518</v>
      </c>
      <c r="F39" t="s">
        <v>522</v>
      </c>
    </row>
    <row r="40" spans="1:6" x14ac:dyDescent="0.25">
      <c r="A40" t="s">
        <v>520</v>
      </c>
      <c r="F40" t="s">
        <v>523</v>
      </c>
    </row>
    <row r="41" spans="1:6" x14ac:dyDescent="0.25">
      <c r="F41" t="s">
        <v>524</v>
      </c>
    </row>
    <row r="42" spans="1:6" x14ac:dyDescent="0.25">
      <c r="A42" t="s">
        <v>223</v>
      </c>
      <c r="F42" t="s">
        <v>525</v>
      </c>
    </row>
    <row r="43" spans="1:6" x14ac:dyDescent="0.25">
      <c r="F43" t="s">
        <v>526</v>
      </c>
    </row>
    <row r="44" spans="1:6" x14ac:dyDescent="0.25">
      <c r="A44" t="s">
        <v>224</v>
      </c>
      <c r="F44" t="s">
        <v>527</v>
      </c>
    </row>
    <row r="45" spans="1:6" x14ac:dyDescent="0.25">
      <c r="A45" t="s">
        <v>225</v>
      </c>
      <c r="F45" t="s">
        <v>528</v>
      </c>
    </row>
    <row r="46" spans="1:6" x14ac:dyDescent="0.25">
      <c r="A46" t="s">
        <v>226</v>
      </c>
      <c r="F46" t="s">
        <v>529</v>
      </c>
    </row>
    <row r="47" spans="1:6" x14ac:dyDescent="0.25">
      <c r="A47" t="s">
        <v>530</v>
      </c>
      <c r="F47" t="s">
        <v>531</v>
      </c>
    </row>
    <row r="48" spans="1:6" x14ac:dyDescent="0.25">
      <c r="F48" t="s">
        <v>519</v>
      </c>
    </row>
    <row r="49" spans="1:6" x14ac:dyDescent="0.25">
      <c r="A49" t="s">
        <v>228</v>
      </c>
      <c r="F49" t="s">
        <v>532</v>
      </c>
    </row>
    <row r="50" spans="1:6" x14ac:dyDescent="0.25">
      <c r="F50" t="s">
        <v>533</v>
      </c>
    </row>
    <row r="51" spans="1:6" x14ac:dyDescent="0.25">
      <c r="F51" t="s">
        <v>534</v>
      </c>
    </row>
    <row r="52" spans="1:6" x14ac:dyDescent="0.25">
      <c r="F52" t="s">
        <v>535</v>
      </c>
    </row>
    <row r="53" spans="1:6" x14ac:dyDescent="0.25">
      <c r="F53" t="s">
        <v>536</v>
      </c>
    </row>
    <row r="54" spans="1:6" x14ac:dyDescent="0.25">
      <c r="F54" t="s">
        <v>537</v>
      </c>
    </row>
    <row r="55" spans="1:6" x14ac:dyDescent="0.25">
      <c r="F55" t="s">
        <v>538</v>
      </c>
    </row>
    <row r="56" spans="1:6" x14ac:dyDescent="0.25">
      <c r="F56" t="s">
        <v>539</v>
      </c>
    </row>
    <row r="57" spans="1:6" x14ac:dyDescent="0.25">
      <c r="F57" t="s">
        <v>540</v>
      </c>
    </row>
    <row r="58" spans="1:6" x14ac:dyDescent="0.25">
      <c r="F58" t="s">
        <v>541</v>
      </c>
    </row>
    <row r="59" spans="1:6" x14ac:dyDescent="0.25">
      <c r="F59" t="s">
        <v>542</v>
      </c>
    </row>
    <row r="61" spans="1:6" x14ac:dyDescent="0.25">
      <c r="F61" t="s">
        <v>543</v>
      </c>
    </row>
    <row r="62" spans="1:6" x14ac:dyDescent="0.25">
      <c r="F62" t="s">
        <v>544</v>
      </c>
    </row>
    <row r="63" spans="1:6" x14ac:dyDescent="0.25">
      <c r="F63" t="s">
        <v>545</v>
      </c>
    </row>
    <row r="64" spans="1:6" x14ac:dyDescent="0.25">
      <c r="F64" t="s">
        <v>546</v>
      </c>
    </row>
    <row r="65" spans="6:6" x14ac:dyDescent="0.25">
      <c r="F65" t="s">
        <v>547</v>
      </c>
    </row>
    <row r="66" spans="6:6" x14ac:dyDescent="0.25">
      <c r="F66" t="s">
        <v>548</v>
      </c>
    </row>
    <row r="67" spans="6:6" x14ac:dyDescent="0.25">
      <c r="F67" t="s">
        <v>549</v>
      </c>
    </row>
    <row r="68" spans="6:6" x14ac:dyDescent="0.25">
      <c r="F68" t="s">
        <v>550</v>
      </c>
    </row>
    <row r="70" spans="6:6" x14ac:dyDescent="0.25">
      <c r="F70" t="s">
        <v>291</v>
      </c>
    </row>
    <row r="71" spans="6:6" x14ac:dyDescent="0.25">
      <c r="F71" t="s">
        <v>551</v>
      </c>
    </row>
    <row r="72" spans="6:6" x14ac:dyDescent="0.25">
      <c r="F72" t="s">
        <v>552</v>
      </c>
    </row>
    <row r="73" spans="6:6" x14ac:dyDescent="0.25">
      <c r="F73" t="s">
        <v>553</v>
      </c>
    </row>
    <row r="74" spans="6:6" x14ac:dyDescent="0.25">
      <c r="F74" t="s">
        <v>554</v>
      </c>
    </row>
    <row r="75" spans="6:6" x14ac:dyDescent="0.25">
      <c r="F75" t="s">
        <v>555</v>
      </c>
    </row>
    <row r="76" spans="6:6" x14ac:dyDescent="0.25">
      <c r="F76" t="s">
        <v>297</v>
      </c>
    </row>
    <row r="77" spans="6:6" x14ac:dyDescent="0.25">
      <c r="F77" t="s">
        <v>556</v>
      </c>
    </row>
    <row r="78" spans="6:6" x14ac:dyDescent="0.25">
      <c r="F78" t="s">
        <v>557</v>
      </c>
    </row>
    <row r="79" spans="6:6" x14ac:dyDescent="0.25">
      <c r="F79" t="s">
        <v>558</v>
      </c>
    </row>
    <row r="80" spans="6:6" x14ac:dyDescent="0.25">
      <c r="F80" t="s">
        <v>559</v>
      </c>
    </row>
    <row r="81" spans="6:6" x14ac:dyDescent="0.25">
      <c r="F81" t="s">
        <v>560</v>
      </c>
    </row>
    <row r="82" spans="6:6" x14ac:dyDescent="0.25">
      <c r="F82" t="s">
        <v>561</v>
      </c>
    </row>
    <row r="83" spans="6:6" x14ac:dyDescent="0.25">
      <c r="F83" t="s">
        <v>562</v>
      </c>
    </row>
    <row r="84" spans="6:6" x14ac:dyDescent="0.25">
      <c r="F84" t="s">
        <v>563</v>
      </c>
    </row>
    <row r="85" spans="6:6" x14ac:dyDescent="0.25">
      <c r="F85" t="s">
        <v>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78D8-6B68-4B1D-8824-4BA1EB19993C}">
  <dimension ref="A1:C6"/>
  <sheetViews>
    <sheetView showZeros="0" workbookViewId="0">
      <selection activeCell="B25" sqref="B25"/>
    </sheetView>
  </sheetViews>
  <sheetFormatPr defaultRowHeight="15" x14ac:dyDescent="0.25"/>
  <cols>
    <col min="1" max="1" width="34.85546875" bestFit="1" customWidth="1"/>
    <col min="2" max="2" width="27.85546875" bestFit="1" customWidth="1"/>
    <col min="3" max="3" width="51.5703125" bestFit="1" customWidth="1"/>
  </cols>
  <sheetData>
    <row r="1" spans="1:3" x14ac:dyDescent="0.25">
      <c r="A1" t="s">
        <v>565</v>
      </c>
      <c r="B1" t="s">
        <v>566</v>
      </c>
      <c r="C1" t="s">
        <v>567</v>
      </c>
    </row>
    <row r="2" spans="1:3" x14ac:dyDescent="0.25">
      <c r="A2" t="s">
        <v>568</v>
      </c>
      <c r="B2" t="s">
        <v>569</v>
      </c>
      <c r="C2" t="s">
        <v>570</v>
      </c>
    </row>
    <row r="3" spans="1:3" x14ac:dyDescent="0.25">
      <c r="A3" t="s">
        <v>571</v>
      </c>
      <c r="B3" t="s">
        <v>572</v>
      </c>
    </row>
    <row r="4" spans="1:3" x14ac:dyDescent="0.25">
      <c r="A4" t="s">
        <v>573</v>
      </c>
      <c r="B4" t="s">
        <v>574</v>
      </c>
    </row>
    <row r="5" spans="1:3" x14ac:dyDescent="0.25">
      <c r="A5" t="s">
        <v>575</v>
      </c>
      <c r="B5" t="s">
        <v>576</v>
      </c>
    </row>
    <row r="6" spans="1:3" x14ac:dyDescent="0.25">
      <c r="A6" t="s">
        <v>577</v>
      </c>
      <c r="B6" t="s">
        <v>578</v>
      </c>
      <c r="C6" t="s">
        <v>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DAC8-9006-4695-9BC0-6E248991BBBB}">
  <dimension ref="A1:FM211"/>
  <sheetViews>
    <sheetView showZeros="0" topLeftCell="A187" workbookViewId="0">
      <selection activeCell="C202" sqref="C202"/>
    </sheetView>
  </sheetViews>
  <sheetFormatPr defaultRowHeight="15" x14ac:dyDescent="0.25"/>
  <cols>
    <col min="1" max="1" width="18" bestFit="1" customWidth="1"/>
    <col min="2" max="2" width="34.5703125" customWidth="1"/>
    <col min="3" max="3" width="20" bestFit="1" customWidth="1"/>
    <col min="4" max="4" width="21.140625" customWidth="1"/>
    <col min="5" max="5" width="27.5703125" bestFit="1" customWidth="1"/>
    <col min="6" max="6" width="19.42578125" bestFit="1" customWidth="1"/>
    <col min="7" max="7" width="23.7109375" customWidth="1"/>
    <col min="8" max="8" width="21.85546875" customWidth="1"/>
    <col min="9" max="9" width="20.42578125" bestFit="1" customWidth="1"/>
    <col min="10" max="10" width="17.7109375" bestFit="1" customWidth="1"/>
    <col min="11" max="12" width="19.5703125" customWidth="1"/>
    <col min="13" max="13" width="21.28515625" customWidth="1"/>
    <col min="14" max="14" width="15" bestFit="1" customWidth="1"/>
    <col min="15" max="15" width="15.5703125" customWidth="1"/>
    <col min="16" max="16" width="18.7109375" bestFit="1" customWidth="1"/>
    <col min="17" max="17" width="21.42578125" bestFit="1" customWidth="1"/>
    <col min="18" max="18" width="17.42578125" bestFit="1" customWidth="1"/>
    <col min="19" max="19" width="3.42578125" customWidth="1"/>
    <col min="20" max="20" width="2.5703125" customWidth="1"/>
    <col min="21" max="21" width="3.140625" customWidth="1"/>
    <col min="22" max="22" width="3.28515625" customWidth="1"/>
    <col min="23" max="24" width="3" customWidth="1"/>
    <col min="25" max="25" width="19.7109375" customWidth="1"/>
    <col min="26" max="26" width="20.5703125" bestFit="1" customWidth="1"/>
    <col min="27" max="27" width="16.85546875" customWidth="1"/>
    <col min="28" max="28" width="26" customWidth="1"/>
    <col min="29" max="29" width="18.42578125" customWidth="1"/>
    <col min="30" max="30" width="22.7109375" customWidth="1"/>
    <col min="31" max="31" width="17.140625" customWidth="1"/>
    <col min="32" max="32" width="19.5703125" customWidth="1"/>
    <col min="33" max="33" width="23.28515625" customWidth="1"/>
    <col min="34" max="34" width="20" customWidth="1"/>
    <col min="35" max="35" width="16.5703125" customWidth="1"/>
    <col min="36" max="36" width="23" customWidth="1"/>
    <col min="37" max="37" width="20.7109375" customWidth="1"/>
    <col min="38" max="38" width="17.5703125" customWidth="1"/>
    <col min="39" max="39" width="43.7109375" customWidth="1"/>
    <col min="40" max="40" width="13.140625" customWidth="1"/>
    <col min="41" max="41" width="17.7109375" customWidth="1"/>
    <col min="43" max="43" width="17.28515625" customWidth="1"/>
    <col min="44" max="44" width="18.28515625" customWidth="1"/>
    <col min="45" max="45" width="17.42578125" customWidth="1"/>
    <col min="46" max="46" width="19.5703125" customWidth="1"/>
    <col min="47" max="47" width="24.85546875" customWidth="1"/>
    <col min="48" max="48" width="19.28515625" customWidth="1"/>
    <col min="49" max="49" width="25.42578125" customWidth="1"/>
    <col min="50" max="50" width="21.85546875" customWidth="1"/>
    <col min="51" max="51" width="17.42578125" customWidth="1"/>
    <col min="52" max="52" width="18.5703125" customWidth="1"/>
    <col min="53" max="53" width="16.5703125" customWidth="1"/>
    <col min="54" max="54" width="24.140625" customWidth="1"/>
    <col min="55" max="55" width="16.7109375" customWidth="1"/>
    <col min="56" max="56" width="19.140625" customWidth="1"/>
    <col min="57" max="57" width="15.28515625" customWidth="1"/>
    <col min="58" max="59" width="16.85546875" customWidth="1"/>
    <col min="60" max="60" width="15" customWidth="1"/>
    <col min="61" max="61" width="16.5703125" customWidth="1"/>
    <col min="62" max="62" width="16" customWidth="1"/>
    <col min="63" max="63" width="16.140625" customWidth="1"/>
    <col min="64" max="64" width="23.140625" customWidth="1"/>
    <col min="65" max="65" width="12.85546875" customWidth="1"/>
    <col min="66" max="66" width="15" customWidth="1"/>
    <col min="67" max="67" width="16.140625" customWidth="1"/>
    <col min="68" max="68" width="19.42578125" customWidth="1"/>
    <col min="69" max="69" width="16" customWidth="1"/>
    <col min="70" max="70" width="19.7109375" customWidth="1"/>
    <col min="71" max="71" width="21.28515625" customWidth="1"/>
    <col min="72" max="72" width="19.42578125" customWidth="1"/>
    <col min="73" max="73" width="15.140625" customWidth="1"/>
    <col min="74" max="74" width="14.5703125" customWidth="1"/>
    <col min="75" max="75" width="15.5703125" customWidth="1"/>
    <col min="76" max="76" width="13.85546875" customWidth="1"/>
    <col min="77" max="77" width="15" customWidth="1"/>
    <col min="78" max="78" width="19.85546875" customWidth="1"/>
    <col min="79" max="79" width="21.85546875" customWidth="1"/>
    <col min="80" max="80" width="13.28515625" customWidth="1"/>
    <col min="81" max="81" width="15.42578125" customWidth="1"/>
    <col min="82" max="82" width="19.140625" customWidth="1"/>
    <col min="83" max="83" width="13.5703125" customWidth="1"/>
    <col min="160" max="160" width="18.42578125" bestFit="1" customWidth="1"/>
  </cols>
  <sheetData>
    <row r="1" spans="1:169" ht="18" thickBot="1" x14ac:dyDescent="0.35">
      <c r="A1" s="19" t="s">
        <v>580</v>
      </c>
      <c r="B1" s="19" t="s">
        <v>581</v>
      </c>
      <c r="C1" s="19" t="s">
        <v>26</v>
      </c>
      <c r="Y1" s="19" t="s">
        <v>582</v>
      </c>
    </row>
    <row r="2" spans="1:169" ht="15.75" thickTop="1" x14ac:dyDescent="0.25">
      <c r="A2" s="4" t="s">
        <v>583</v>
      </c>
      <c r="B2" s="4" t="s">
        <v>584</v>
      </c>
      <c r="C2" s="2" t="str" cm="1">
        <f t="array" ref="C2:R2">TRANSPOSE(_xlfn._xlws.SORT(_xlfn.UNIQUE(DeptCatSubTable[Dept (ACCT CODE)])))</f>
        <v>Clothing - CLO</v>
      </c>
      <c r="D2" s="2" t="str">
        <v>Consumables - CON</v>
      </c>
      <c r="E2" s="2" t="str">
        <v>Domestics - DOM</v>
      </c>
      <c r="F2" s="2" t="str">
        <v>Fabric - FAB</v>
      </c>
      <c r="G2" s="2" t="str">
        <v>Flooring</v>
      </c>
      <c r="H2" s="2" t="str">
        <v>Furniture</v>
      </c>
      <c r="I2" s="2" t="str">
        <v>General - GEN</v>
      </c>
      <c r="J2" s="2" t="str">
        <v>Hardware - HDW</v>
      </c>
      <c r="K2" s="2" t="str">
        <v>Housewares - HSW</v>
      </c>
      <c r="L2" s="2" t="str">
        <v>Pets - PETS</v>
      </c>
      <c r="M2" s="2" t="str">
        <v>SALVAGE</v>
      </c>
      <c r="N2" s="2" t="str">
        <v>Shoes - SHO</v>
      </c>
      <c r="O2" s="2" t="str">
        <v>Socks - SOCKS</v>
      </c>
      <c r="P2" s="2" t="str">
        <v>Softlines Acc - ACC</v>
      </c>
      <c r="Q2" t="str">
        <v>Sporting Goods - SPO</v>
      </c>
      <c r="R2" t="str">
        <v>Store Use - STR</v>
      </c>
      <c r="Y2" s="2" t="str" cm="1">
        <f t="array" ref="Y2:FM2">TRANSPOSE(_xlfn._xlws.SORT(_xlfn.UNIQUE(DeptCatSubTable[Categories])))</f>
        <v>Accent Chairs</v>
      </c>
      <c r="Z2" s="2" t="str">
        <v>Accent Furniture</v>
      </c>
      <c r="AA2" s="2" t="str">
        <v>Adhesive</v>
      </c>
      <c r="AB2" s="2" t="str">
        <v>Art Supplies - ART</v>
      </c>
      <c r="AC2" s="2" t="str">
        <v>Automotive - AUTO</v>
      </c>
      <c r="AD2" s="2" t="str">
        <v>Baby</v>
      </c>
      <c r="AE2" s="2" t="str">
        <v>Baby - BABY</v>
      </c>
      <c r="AF2" s="2" t="str">
        <v>Bakeware - BKW</v>
      </c>
      <c r="AG2" s="2" t="str">
        <v>Baseball - BASE</v>
      </c>
      <c r="AH2" s="2" t="str">
        <v>Basketball - BBALL</v>
      </c>
      <c r="AI2" s="2" t="str">
        <v>Batteries - BATT</v>
      </c>
      <c r="AJ2" s="2" t="str">
        <v>BBQ Items - BBQ</v>
      </c>
      <c r="AK2" s="2" t="str">
        <v>Bed Bases &amp; Frames</v>
      </c>
      <c r="AL2" s="2" t="str">
        <v>Bedding &amp; Accessories</v>
      </c>
      <c r="AM2" s="2" t="str">
        <v>Bedroom Furniture</v>
      </c>
      <c r="AN2" s="2" t="str">
        <v>Blankets - BLANK</v>
      </c>
      <c r="AO2" s="2" t="str">
        <v>Boating - BOAT</v>
      </c>
      <c r="AP2" s="2" t="str">
        <v>Books - BOOKS</v>
      </c>
      <c r="AQ2" s="2" t="str">
        <v>Bows</v>
      </c>
      <c r="AR2" s="2" t="str">
        <v>Boys - BOYS</v>
      </c>
      <c r="AS2" s="2" t="str">
        <v>Boys Acc - BOYS</v>
      </c>
      <c r="AT2" s="2" t="str">
        <v>Boys Socks - BOYS</v>
      </c>
      <c r="AU2" s="2" t="str">
        <v>Camping - CAMP</v>
      </c>
      <c r="AV2" s="2" t="str">
        <v>Candles - CAND</v>
      </c>
      <c r="AW2" s="2" t="str">
        <v>Carpet</v>
      </c>
      <c r="AX2" s="2" t="str">
        <v>Carpet Cores</v>
      </c>
      <c r="AY2" s="2" t="str">
        <v>Carpet Tile</v>
      </c>
      <c r="AZ2" s="2" t="str">
        <v>Children's Furniture</v>
      </c>
      <c r="BA2" s="2" t="str">
        <v>Cleaning Supplies - CLEAN</v>
      </c>
      <c r="BB2" s="2" t="str">
        <v>Clothing - CLO</v>
      </c>
      <c r="BC2" s="2" t="str">
        <v>Collars/Leashes - LEASH</v>
      </c>
      <c r="BD2" s="2" t="str">
        <v>Comforters - COMF</v>
      </c>
      <c r="BE2" s="2" t="str">
        <v>Console Tables</v>
      </c>
      <c r="BF2" s="2" t="str">
        <v>Consumables - CON</v>
      </c>
      <c r="BG2" s="2" t="str">
        <v>Cookware - CKW</v>
      </c>
      <c r="BH2" s="2" t="str">
        <v>Curtains/Drapes - CURT</v>
      </c>
      <c r="BI2" s="2" t="str">
        <v>Décor &amp; Accessories</v>
      </c>
      <c r="BJ2" s="2" t="str">
        <v>Dining Room</v>
      </c>
      <c r="BK2" s="2" t="str">
        <v>Dinnerware - DINN</v>
      </c>
      <c r="BL2" s="2" t="str">
        <v>Domestics - DOM</v>
      </c>
      <c r="BM2" s="2" t="str">
        <v>Electronics - ELEC</v>
      </c>
      <c r="BN2" s="2" t="str">
        <v>Fabric - FAB</v>
      </c>
      <c r="BO2" s="2" t="str">
        <v>Fabric Yards - YARDS</v>
      </c>
      <c r="BP2" s="2" t="str">
        <v>FAK</v>
      </c>
      <c r="BQ2" s="2" t="str">
        <v>Fishing - FISH</v>
      </c>
      <c r="BR2" s="2" t="str">
        <v>Fitness - FITN</v>
      </c>
      <c r="BS2" s="2" t="str">
        <v>Flashlights - FLASH</v>
      </c>
      <c r="BT2" s="2" t="str">
        <v>Floor Cleaners - FLCLN</v>
      </c>
      <c r="BU2" s="2" t="str">
        <v>Food - FOOD</v>
      </c>
      <c r="BV2" s="2" t="str">
        <v>Football - FOOT</v>
      </c>
      <c r="BW2" s="2" t="str">
        <v>Frames - FRAME</v>
      </c>
      <c r="BX2" s="2" t="str">
        <v>Garden - GARD</v>
      </c>
      <c r="BY2" s="2" t="str">
        <v>General - GEN</v>
      </c>
      <c r="BZ2" s="2" t="str">
        <v>Gift Bags - BAGS</v>
      </c>
      <c r="CA2" s="2" t="str">
        <v>Gift Boxes - BOX</v>
      </c>
      <c r="CB2" s="2" t="str">
        <v>Gift Tags - TAGS</v>
      </c>
      <c r="CC2" s="2" t="str">
        <v>Girls - GIRLS</v>
      </c>
      <c r="CD2" s="2" t="str">
        <v>Girls Acc - GIRLS</v>
      </c>
      <c r="CE2" s="2" t="str">
        <v>Girls Socks - GIRLS</v>
      </c>
      <c r="CF2" s="2" t="str">
        <v>Glassware - GLASS</v>
      </c>
      <c r="CG2" s="2" t="str">
        <v>Golf - GOLF</v>
      </c>
      <c r="CH2" s="2" t="str">
        <v>Greeting Cards - CARDS</v>
      </c>
      <c r="CI2" s="2" t="str">
        <v>Hall Trees &amp; Coat Racks</v>
      </c>
      <c r="CJ2" s="2" t="str">
        <v>Hand Tools - HAND</v>
      </c>
      <c r="CK2" s="2" t="str">
        <v>Hardware - HDW</v>
      </c>
      <c r="CL2" s="2" t="str">
        <v>Hardwood</v>
      </c>
      <c r="CM2" s="2" t="str">
        <v>HBC/HBA - HBC</v>
      </c>
      <c r="CN2" s="2" t="str">
        <v>Hockey - HOCK</v>
      </c>
      <c r="CO2" s="2" t="str">
        <v>Housewares - HSW</v>
      </c>
      <c r="CP2" s="2" t="str">
        <v xml:space="preserve">Hunting </v>
      </c>
      <c r="CQ2" s="2" t="str">
        <v>Hunting - HUNT</v>
      </c>
      <c r="CR2" s="2" t="str">
        <v>Hybrid Plank</v>
      </c>
      <c r="CS2" s="2" t="str">
        <v>Ice Fishing - ICE</v>
      </c>
      <c r="CT2" s="2" t="str">
        <v>Kids - SKIDS</v>
      </c>
      <c r="CU2" s="2" t="str">
        <v>Kitchen Gadgets - GADGE</v>
      </c>
      <c r="CV2" s="2" t="str">
        <v>Laminated Plank</v>
      </c>
      <c r="CW2" s="2" t="str">
        <v>Laundry - LAUN</v>
      </c>
      <c r="CX2" s="2" t="str">
        <v>Living Room</v>
      </c>
      <c r="CY2" s="2" t="str">
        <v>Luggage - LUGG</v>
      </c>
      <c r="CZ2" s="2" t="str">
        <v xml:space="preserve">Maine Sweatshirts </v>
      </c>
      <c r="DA2" s="2" t="str">
        <v>Mats</v>
      </c>
      <c r="DB2" s="2" t="str">
        <v>Mattresses</v>
      </c>
      <c r="DC2" s="2" t="str">
        <v>Mens - MENS</v>
      </c>
      <c r="DD2" s="2" t="str">
        <v>Mens - SMENS</v>
      </c>
      <c r="DE2" s="2" t="str">
        <v>Mens Acc - MENS</v>
      </c>
      <c r="DF2" s="2" t="str">
        <v>Mens Socks - MENS</v>
      </c>
      <c r="DG2" s="2" t="str">
        <v>Mixed gender</v>
      </c>
      <c r="DH2" s="2" t="str">
        <v>Monks Cloth</v>
      </c>
      <c r="DI2" s="2" t="str">
        <v>Notions - NOT</v>
      </c>
      <c r="DJ2" s="2" t="str">
        <v>Nuts &amp; Bolts - NNB</v>
      </c>
      <c r="DK2" s="2" t="str">
        <v>Office Furniture</v>
      </c>
      <c r="DL2" s="2" t="str">
        <v>Office Supplies - OFFIC</v>
      </c>
      <c r="DM2" s="2" t="str">
        <v>Organization</v>
      </c>
      <c r="DN2" s="2" t="str">
        <v>Ottomans &amp; Poufs</v>
      </c>
      <c r="DO2" s="2" t="str">
        <v>Outdoor Furniture</v>
      </c>
      <c r="DP2" s="2" t="str">
        <v>Outdoor- OUTDR</v>
      </c>
      <c r="DQ2" s="2" t="str">
        <v>Pad</v>
      </c>
      <c r="DR2" s="2" t="str">
        <v>Paint - PAINT</v>
      </c>
      <c r="DS2" s="2" t="str">
        <v>Paper Goods - PAPER</v>
      </c>
      <c r="DT2" s="2" t="str">
        <v>Party Goods - PARTY</v>
      </c>
      <c r="DU2" s="2" t="str">
        <v>Pet Beds - BEDS</v>
      </c>
      <c r="DV2" s="2" t="str">
        <v>Pet Food - PFOOD</v>
      </c>
      <c r="DW2" s="2" t="str">
        <v>Pet Toys - PTOYS</v>
      </c>
      <c r="DX2" s="2" t="str">
        <v>Pets - PETS</v>
      </c>
      <c r="DY2" s="2" t="str">
        <v>Pickleball- PKL</v>
      </c>
      <c r="DZ2" s="2" t="str">
        <v>Pillows - PILLW</v>
      </c>
      <c r="EA2" s="2" t="str">
        <v>Planters - PLANT</v>
      </c>
      <c r="EB2" s="2" t="str">
        <v>Plastics (Trash Bags, Ziploc Bags, etc.) - PLAST</v>
      </c>
      <c r="EC2" s="2" t="str">
        <v>Playground Balls - PGB</v>
      </c>
      <c r="ED2" s="2" t="str">
        <v>Power Tools - POWER</v>
      </c>
      <c r="EE2" s="2" t="str">
        <v>Rope - ROPE</v>
      </c>
      <c r="EF2" s="2" t="str">
        <v>Rugs</v>
      </c>
      <c r="EG2" s="2" t="str">
        <v xml:space="preserve">School Uniforms </v>
      </c>
      <c r="EH2" s="2" t="str">
        <v xml:space="preserve">Scrubs </v>
      </c>
      <c r="EI2" s="2" t="str">
        <v>Sheets - SHEET</v>
      </c>
      <c r="EJ2" s="2" t="str">
        <v>Shoes - SHO</v>
      </c>
      <c r="EK2" s="2" t="str">
        <v>Small Appliances - SMALL</v>
      </c>
      <c r="EL2" s="2" t="str">
        <v>Snow - SNOW</v>
      </c>
      <c r="EM2" s="2" t="str">
        <v>Soccer - SOCC</v>
      </c>
      <c r="EN2" s="2" t="str">
        <v>Socks - SOCKS</v>
      </c>
      <c r="EO2" s="2" t="str">
        <v>Softlines Acc - ACC</v>
      </c>
      <c r="EP2" s="2" t="str">
        <v>Sporting Goods - SPO</v>
      </c>
      <c r="EQ2" s="2" t="str">
        <v>Stair Treads</v>
      </c>
      <c r="ER2" s="2" t="str">
        <v>Storage Solutions</v>
      </c>
      <c r="ES2" s="2" t="str">
        <v>Store Use - STR</v>
      </c>
      <c r="ET2" s="2" t="str">
        <v>Tape - TAPE</v>
      </c>
      <c r="EU2" s="2" t="str">
        <v>Tarps - TARPS</v>
      </c>
      <c r="EV2" s="2" t="str">
        <v>Throw Rugs - RUGS</v>
      </c>
      <c r="EW2" s="2" t="str">
        <v>Tile</v>
      </c>
      <c r="EX2" s="2" t="str">
        <v>Tissue Paper - TISS</v>
      </c>
      <c r="EY2" s="2" t="str">
        <v>Towels - TOWEL</v>
      </c>
      <c r="EZ2" s="2" t="str">
        <v>Toys - TOYS</v>
      </c>
      <c r="FA2" s="2" t="str">
        <v>Treats/Chews - TREAT</v>
      </c>
      <c r="FB2" s="2" t="str">
        <v>Utility - UTIL</v>
      </c>
      <c r="FC2" s="2" t="str">
        <v>Vinyl</v>
      </c>
      <c r="FD2" s="2" t="str">
        <v>Vinyl Plank</v>
      </c>
      <c r="FE2" s="2" t="str">
        <v>Wall</v>
      </c>
      <c r="FF2" t="str">
        <v>Womens - SWMNS</v>
      </c>
      <c r="FG2" t="str">
        <v>Womens - WOMEN</v>
      </c>
      <c r="FH2" t="str">
        <v>Womens Acc - WOMEN</v>
      </c>
      <c r="FI2" t="str">
        <v>Womens Socks - WOMEN</v>
      </c>
      <c r="FJ2" t="str">
        <v>Work Gloves - GLOVE</v>
      </c>
      <c r="FK2" t="str">
        <v>Wrap</v>
      </c>
      <c r="FL2" t="str">
        <v>Yarn - YARN</v>
      </c>
      <c r="FM2">
        <v>0</v>
      </c>
    </row>
    <row r="3" spans="1:169" x14ac:dyDescent="0.25">
      <c r="A3" s="2" t="str" cm="1">
        <f t="array" ref="A3:A18">_xlfn._xlws.SORT(_xlfn.UNIQUE(_xlfn.TOCOL(DeptCatSubTable[Dept (ACCT CODE)],1)))</f>
        <v>Clothing - CLO</v>
      </c>
      <c r="B3" t="str" cm="1">
        <f t="array" ref="B3:B146">_xlfn._xlws.SORT(_xlfn.UNIQUE(_xlfn.TOCOL(DeptCatSubTable[Categories],1)))</f>
        <v>Accent Chairs</v>
      </c>
      <c r="C3" t="str" cm="1">
        <f t="array" ref="C3:C11">_xlfn._xlws.SORT(_xlfn.UNIQUE(_xlfn._xlws.FILTER(DeptCatSubTable[Categories],DeptCatSubTable[Dept (ACCT CODE)]=DropDownLists!C2,"")))</f>
        <v>Baby - BABY</v>
      </c>
      <c r="D3" t="str" cm="1">
        <f t="array" ref="D3:D7">_xlfn._xlws.SORT(_xlfn.UNIQUE(_xlfn._xlws.FILTER(DeptCatSubTable[Categories],DeptCatSubTable[Dept (ACCT CODE)]=DropDownLists!D2,"")))</f>
        <v>Cleaning Supplies - CLEAN</v>
      </c>
      <c r="E3" t="str" cm="1">
        <f t="array" ref="E3:E9">_xlfn._xlws.SORT(_xlfn.UNIQUE(_xlfn._xlws.FILTER(DeptCatSubTable[Categories],DeptCatSubTable[Dept (ACCT CODE)]=DropDownLists!E2,"")))</f>
        <v>Blankets - BLANK</v>
      </c>
      <c r="F3" t="str" cm="1">
        <f t="array" ref="F3:F7">_xlfn._xlws.SORT(_xlfn.UNIQUE(_xlfn._xlws.FILTER(DeptCatSubTable[Categories],DeptCatSubTable[Dept (ACCT CODE)]=DropDownLists!F2,"")))</f>
        <v>Fabric Yards - YARDS</v>
      </c>
      <c r="G3" t="str" cm="1">
        <f t="array" ref="G3:G16">_xlfn._xlws.SORT(_xlfn.UNIQUE(_xlfn._xlws.FILTER(DeptCatSubTable[Categories],DeptCatSubTable[Dept (ACCT CODE)]=DropDownLists!G2,"")))</f>
        <v>Adhesive</v>
      </c>
      <c r="H3" t="str" cm="1">
        <f t="array" ref="H3:H18">_xlfn._xlws.SORT(_xlfn.UNIQUE(_xlfn._xlws.FILTER(DeptCatSubTable[Categories],DeptCatSubTable[Dept (ACCT CODE)]=DropDownLists!H2,"")))</f>
        <v>Accent Chairs</v>
      </c>
      <c r="I3" t="str" cm="1">
        <f t="array" ref="I3:I27">_xlfn._xlws.SORT(_xlfn.UNIQUE(_xlfn._xlws.FILTER(DeptCatSubTable[Categories],DeptCatSubTable[Dept (ACCT CODE)]=DropDownLists!I2,"")))</f>
        <v>Art Supplies - ART</v>
      </c>
      <c r="J3" t="str" cm="1">
        <f t="array" ref="J3:J14">_xlfn._xlws.SORT(_xlfn.UNIQUE(_xlfn._xlws.FILTER(DeptCatSubTable[Categories],DeptCatSubTable[Dept (ACCT CODE)]=DropDownLists!J2,"")))</f>
        <v>Automotive - AUTO</v>
      </c>
      <c r="K3" t="str" cm="1">
        <f t="array" ref="K3:K9">_xlfn._xlws.SORT(_xlfn.UNIQUE(_xlfn._xlws.FILTER(DeptCatSubTable[Categories],DeptCatSubTable[Dept (ACCT CODE)]=DropDownLists!K2,"")))</f>
        <v>Bakeware - BKW</v>
      </c>
      <c r="L3" t="str" cm="1">
        <f t="array" ref="L3:L7">_xlfn._xlws.SORT(_xlfn.UNIQUE(_xlfn._xlws.FILTER(DeptCatSubTable[Categories],DeptCatSubTable[Dept (ACCT CODE)]=DropDownLists!L2,"")))</f>
        <v>Collars/Leashes - LEASH</v>
      </c>
      <c r="M3" t="str" cm="1">
        <f t="array" ref="M3:M16">_xlfn._xlws.SORT(_xlfn.UNIQUE(_xlfn._xlws.FILTER(DeptCatSubTable[Categories],DeptCatSubTable[Dept (ACCT CODE)]=DropDownLists!M2,"")))</f>
        <v>Clothing - CLO</v>
      </c>
      <c r="N3" t="str" cm="1">
        <f t="array" ref="N3:N6">_xlfn._xlws.SORT(_xlfn.UNIQUE(_xlfn._xlws.FILTER(DeptCatSubTable[Categories],DeptCatSubTable[Dept (ACCT CODE)]=DropDownLists!N2,"")))</f>
        <v>Kids - SKIDS</v>
      </c>
      <c r="O3" t="str" cm="1">
        <f t="array" ref="O3:O6">_xlfn._xlws.SORT(_xlfn.UNIQUE(_xlfn._xlws.FILTER(DeptCatSubTable[Categories],DeptCatSubTable[Dept (ACCT CODE)]=DropDownLists!O2,"")))</f>
        <v>Boys Socks - BOYS</v>
      </c>
      <c r="P3" t="str" cm="1">
        <f t="array" ref="P3:P6">_xlfn._xlws.SORT(_xlfn.UNIQUE(_xlfn._xlws.FILTER(DeptCatSubTable[Categories],DeptCatSubTable[Dept (ACCT CODE)]=DropDownLists!P2,"")))</f>
        <v>Boys Acc - BOYS</v>
      </c>
      <c r="Q3" t="str" cm="1">
        <f t="array" ref="Q3:Q15">_xlfn._xlws.SORT(_xlfn.UNIQUE(_xlfn._xlws.FILTER(DeptCatSubTable[Categories],DeptCatSubTable[Dept (ACCT CODE)]=DropDownLists!Q2,"")))</f>
        <v>Baseball - BASE</v>
      </c>
      <c r="R3" cm="1">
        <f t="array" ref="R3">_xlfn._xlws.SORT(_xlfn.UNIQUE(_xlfn._xlws.FILTER(DeptCatSubTable[Categories],DeptCatSubTable[Dept (ACCT CODE)]=DropDownLists!R2,"")))</f>
        <v>0</v>
      </c>
      <c r="S3" t="str" cm="1">
        <f t="array" ref="S3">_xlfn._xlws.SORT(_xlfn.UNIQUE(_xlfn._xlws.FILTER(DeptCatSubTable[Categories],DeptCatSubTable[Dept (ACCT CODE)]=DropDownLists!S2,"")))</f>
        <v/>
      </c>
      <c r="T3" t="str" cm="1">
        <f t="array" ref="T3">_xlfn._xlws.SORT(_xlfn.UNIQUE(_xlfn._xlws.FILTER(DeptCatSubTable[Categories],DeptCatSubTable[Dept (ACCT CODE)]=DropDownLists!T2,"")))</f>
        <v/>
      </c>
      <c r="U3" t="str" cm="1">
        <f t="array" ref="U3">_xlfn._xlws.SORT(_xlfn.UNIQUE(_xlfn._xlws.FILTER(DeptCatSubTable[Categories],DeptCatSubTable[Dept (ACCT CODE)]=DropDownLists!U2,"")))</f>
        <v/>
      </c>
      <c r="V3" t="str" cm="1">
        <f t="array" ref="V3">_xlfn._xlws.SORT(_xlfn.UNIQUE(_xlfn._xlws.FILTER(DeptCatSubTable[Categories],DeptCatSubTable[Dept (ACCT CODE)]=DropDownLists!V2,"")))</f>
        <v/>
      </c>
      <c r="W3" t="str" cm="1">
        <f t="array" ref="W3">_xlfn._xlws.SORT(_xlfn.UNIQUE(_xlfn._xlws.FILTER(DeptCatSubTable[Categories],DeptCatSubTable[Dept (ACCT CODE)]=DropDownLists!W2,"")))</f>
        <v/>
      </c>
      <c r="X3" t="str" cm="1">
        <f t="array" ref="X3">_xlfn._xlws.SORT(_xlfn.UNIQUE(_xlfn._xlws.FILTER(DeptCatSubTable[Categories],DeptCatSubTable[Dept (ACCT CODE)]=DropDownLists!X2,"")))</f>
        <v/>
      </c>
      <c r="Y3" cm="1">
        <f t="array" ref="Y3">_xlfn._xlws.SORT(_xlfn.UNIQUE(_xlfn._xlws.FILTER(DeptCatSubTable[Sub-categories],DeptCatSubTable[Categories]=DropDownLists!Y2,"")))</f>
        <v>0</v>
      </c>
      <c r="Z3" cm="1">
        <f t="array" ref="Z3">_xlfn._xlws.SORT(_xlfn.UNIQUE(_xlfn._xlws.FILTER(DeptCatSubTable[Sub-categories],DeptCatSubTable[Categories]=DropDownLists!Z2,"")))</f>
        <v>0</v>
      </c>
      <c r="AA3" cm="1">
        <f t="array" ref="AA3">_xlfn._xlws.SORT(_xlfn.UNIQUE(_xlfn._xlws.FILTER(DeptCatSubTable[Sub-categories],DeptCatSubTable[Categories]=DropDownLists!AA2,"")))</f>
        <v>0</v>
      </c>
      <c r="AB3" t="str" cm="1">
        <f t="array" ref="AB3:AB4">_xlfn._xlws.SORT(_xlfn.UNIQUE(_xlfn._xlws.FILTER(DeptCatSubTable[Sub-categories],DeptCatSubTable[Categories]=DropDownLists!AB2,"")))</f>
        <v>Arts</v>
      </c>
      <c r="AC3" t="str" cm="1">
        <f t="array" ref="AC3:AC8">_xlfn._xlws.SORT(_xlfn.UNIQUE(_xlfn._xlws.FILTER(DeptCatSubTable[Sub-categories],DeptCatSubTable[Categories]=DropDownLists!AC2,"")))</f>
        <v>Brush/Scraper - WINTR</v>
      </c>
      <c r="AD3" cm="1">
        <f t="array" ref="AD3">_xlfn._xlws.SORT(_xlfn.UNIQUE(_xlfn._xlws.FILTER(DeptCatSubTable[Sub-categories],DeptCatSubTable[Categories]=DropDownLists!AD2,"")))</f>
        <v>0</v>
      </c>
      <c r="AE3" t="str" cm="1">
        <f t="array" ref="AE3:AE8">_xlfn._xlws.SORT(_xlfn.UNIQUE(_xlfn._xlws.FILTER(DeptCatSubTable[Sub-categories],DeptCatSubTable[Categories]=DropDownLists!AE2,"")))</f>
        <v xml:space="preserve">Fall </v>
      </c>
      <c r="AF3" cm="1">
        <f t="array" ref="AF3">_xlfn._xlws.SORT(_xlfn.UNIQUE(_xlfn._xlws.FILTER(DeptCatSubTable[Sub-categories],DeptCatSubTable[Categories]=DropDownLists!AF2,"")))</f>
        <v>0</v>
      </c>
      <c r="AG3" cm="1">
        <f t="array" ref="AG3">_xlfn._xlws.SORT(_xlfn.UNIQUE(_xlfn._xlws.FILTER(DeptCatSubTable[Sub-categories],DeptCatSubTable[Categories]=DropDownLists!AG2,"")))</f>
        <v>0</v>
      </c>
      <c r="AH3" cm="1">
        <f t="array" ref="AH3">_xlfn._xlws.SORT(_xlfn.UNIQUE(_xlfn._xlws.FILTER(DeptCatSubTable[Sub-categories],DeptCatSubTable[Categories]=DropDownLists!AH2,"")))</f>
        <v>0</v>
      </c>
      <c r="AI3" cm="1">
        <f t="array" ref="AI3">_xlfn._xlws.SORT(_xlfn.UNIQUE(_xlfn._xlws.FILTER(DeptCatSubTable[Sub-categories],DeptCatSubTable[Categories]=DropDownLists!AI2,"")))</f>
        <v>0</v>
      </c>
      <c r="AJ3" cm="1">
        <f t="array" ref="AJ3">_xlfn._xlws.SORT(_xlfn.UNIQUE(_xlfn._xlws.FILTER(DeptCatSubTable[Sub-categories],DeptCatSubTable[Categories]=DropDownLists!AJ2,"")))</f>
        <v>0</v>
      </c>
      <c r="AK3" t="str" cm="1">
        <f t="array" ref="AK3:AK7">_xlfn._xlws.SORT(_xlfn.UNIQUE(_xlfn._xlws.FILTER(DeptCatSubTable[Sub-categories],DeptCatSubTable[Categories]=DropDownLists!AK2,"")))</f>
        <v>Adjustable Bases</v>
      </c>
      <c r="AL3" t="str" cm="1">
        <f t="array" ref="AL3:AL11">_xlfn._xlws.SORT(_xlfn.UNIQUE(_xlfn._xlws.FILTER(DeptCatSubTable[Sub-categories],DeptCatSubTable[Categories]=DropDownLists!AL2,"")))</f>
        <v>Bed Risers</v>
      </c>
      <c r="AM3" t="str" cm="1">
        <f t="array" ref="AM3:AM8">_xlfn._xlws.SORT(_xlfn.UNIQUE(_xlfn._xlws.FILTER(DeptCatSubTable[Sub-categories],DeptCatSubTable[Categories]=DropDownLists!AM2,"")))</f>
        <v>Bed - King</v>
      </c>
      <c r="AN3" t="str" cm="1">
        <f t="array" ref="AN3:AN4">_xlfn._xlws.SORT(_xlfn.UNIQUE(_xlfn._xlws.FILTER(DeptCatSubTable[Sub-categories],DeptCatSubTable[Categories]=DropDownLists!AN2,"")))</f>
        <v>Bedding</v>
      </c>
      <c r="AO3" cm="1">
        <f t="array" ref="AO3">_xlfn._xlws.SORT(_xlfn.UNIQUE(_xlfn._xlws.FILTER(DeptCatSubTable[Sub-categories],DeptCatSubTable[Categories]=DropDownLists!AO2,"")))</f>
        <v>0</v>
      </c>
      <c r="AP3" t="str" cm="1">
        <f t="array" ref="AP3:AP5">_xlfn._xlws.SORT(_xlfn.UNIQUE(_xlfn._xlws.FILTER(DeptCatSubTable[Sub-categories],DeptCatSubTable[Categories]=DropDownLists!AP2,"")))</f>
        <v>Cook</v>
      </c>
      <c r="AQ3" cm="1">
        <f t="array" ref="AQ3">_xlfn._xlws.SORT(_xlfn.UNIQUE(_xlfn._xlws.FILTER(DeptCatSubTable[Sub-categories],DeptCatSubTable[Categories]=DropDownLists!AQ2,"")))</f>
        <v>0</v>
      </c>
      <c r="AR3" t="str" cm="1">
        <f t="array" ref="AR3:AR12">_xlfn._xlws.SORT(_xlfn.UNIQUE(_xlfn._xlws.FILTER(DeptCatSubTable[Sub-categories],DeptCatSubTable[Categories]=DropDownLists!AR2,"")))</f>
        <v xml:space="preserve">Back to School </v>
      </c>
      <c r="AS3" t="str" cm="1">
        <f t="array" ref="AS3:AS10">_xlfn._xlws.SORT(_xlfn.UNIQUE(_xlfn._xlws.FILTER(DeptCatSubTable[Sub-categories],DeptCatSubTable[Categories]=DropDownLists!AS2,"")))</f>
        <v xml:space="preserve">Baselayers </v>
      </c>
      <c r="AT3" t="str" cm="1">
        <f t="array" ref="AT3:AT7">_xlfn._xlws.SORT(_xlfn.UNIQUE(_xlfn._xlws.FILTER(DeptCatSubTable[Sub-categories],DeptCatSubTable[Categories]=DropDownLists!AT2,"")))</f>
        <v xml:space="preserve">Athletic </v>
      </c>
      <c r="AU3" t="str" cm="1">
        <f t="array" ref="AU3:AU4">_xlfn._xlws.SORT(_xlfn.UNIQUE(_xlfn._xlws.FILTER(DeptCatSubTable[Sub-categories],DeptCatSubTable[Categories]=DropDownLists!AU2,"")))</f>
        <v>Sleeping Bags - SLEEP</v>
      </c>
      <c r="AV3" cm="1">
        <f t="array" ref="AV3">_xlfn._xlws.SORT(_xlfn.UNIQUE(_xlfn._xlws.FILTER(DeptCatSubTable[Sub-categories],DeptCatSubTable[Categories]=DropDownLists!AV2,"")))</f>
        <v>0</v>
      </c>
      <c r="AW3" t="str" cm="1">
        <f t="array" ref="AW3:AW4">_xlfn._xlws.SORT(_xlfn.UNIQUE(_xlfn._xlws.FILTER(DeptCatSubTable[Sub-categories],DeptCatSubTable[Categories]=DropDownLists!AW2,"")))</f>
        <v>Rems</v>
      </c>
      <c r="AX3" cm="1">
        <f t="array" ref="AX3">_xlfn._xlws.SORT(_xlfn.UNIQUE(_xlfn._xlws.FILTER(DeptCatSubTable[Sub-categories],DeptCatSubTable[Categories]=DropDownLists!AX2,"")))</f>
        <v>0</v>
      </c>
      <c r="AY3" cm="1">
        <f t="array" ref="AY3">_xlfn._xlws.SORT(_xlfn.UNIQUE(_xlfn._xlws.FILTER(DeptCatSubTable[Sub-categories],DeptCatSubTable[Categories]=DropDownLists!AY2,"")))</f>
        <v>0</v>
      </c>
      <c r="AZ3" t="str" cm="1">
        <f t="array" ref="AZ3:AZ6">_xlfn._xlws.SORT(_xlfn.UNIQUE(_xlfn._xlws.FILTER(DeptCatSubTable[Sub-categories],DeptCatSubTable[Categories]=DropDownLists!AZ2,"")))</f>
        <v>Bunk Beds</v>
      </c>
      <c r="BA3" cm="1">
        <f t="array" ref="BA3">_xlfn._xlws.SORT(_xlfn.UNIQUE(_xlfn._xlws.FILTER(DeptCatSubTable[Sub-categories],DeptCatSubTable[Categories]=DropDownLists!BA2,"")))</f>
        <v>0</v>
      </c>
      <c r="BB3" cm="1">
        <f t="array" ref="BB3">_xlfn._xlws.SORT(_xlfn.UNIQUE(_xlfn._xlws.FILTER(DeptCatSubTable[Sub-categories],DeptCatSubTable[Categories]=DropDownLists!BB2,"")))</f>
        <v>0</v>
      </c>
      <c r="BC3" cm="1">
        <f t="array" ref="BC3">_xlfn._xlws.SORT(_xlfn.UNIQUE(_xlfn._xlws.FILTER(DeptCatSubTable[Sub-categories],DeptCatSubTable[Categories]=DropDownLists!BC2,"")))</f>
        <v>0</v>
      </c>
      <c r="BD3" cm="1">
        <f t="array" ref="BD3">_xlfn._xlws.SORT(_xlfn.UNIQUE(_xlfn._xlws.FILTER(DeptCatSubTable[Sub-categories],DeptCatSubTable[Categories]=DropDownLists!BD2,"")))</f>
        <v>0</v>
      </c>
      <c r="BE3" cm="1">
        <f t="array" ref="BE3">_xlfn._xlws.SORT(_xlfn.UNIQUE(_xlfn._xlws.FILTER(DeptCatSubTable[Sub-categories],DeptCatSubTable[Categories]=DropDownLists!BE2,"")))</f>
        <v>0</v>
      </c>
      <c r="BF3" cm="1">
        <f t="array" ref="BF3">_xlfn._xlws.SORT(_xlfn.UNIQUE(_xlfn._xlws.FILTER(DeptCatSubTable[Sub-categories],DeptCatSubTable[Categories]=DropDownLists!BF2,"")))</f>
        <v>0</v>
      </c>
      <c r="BG3" cm="1">
        <f t="array" ref="BG3">_xlfn._xlws.SORT(_xlfn.UNIQUE(_xlfn._xlws.FILTER(DeptCatSubTable[Sub-categories],DeptCatSubTable[Categories]=DropDownLists!BG2,"")))</f>
        <v>0</v>
      </c>
      <c r="BH3" cm="1">
        <f t="array" ref="BH3">_xlfn._xlws.SORT(_xlfn.UNIQUE(_xlfn._xlws.FILTER(DeptCatSubTable[Sub-categories],DeptCatSubTable[Categories]=DropDownLists!BH2,"")))</f>
        <v>0</v>
      </c>
      <c r="BI3" t="str" cm="1">
        <f t="array" ref="BI3:BI7">_xlfn._xlws.SORT(_xlfn.UNIQUE(_xlfn._xlws.FILTER(DeptCatSubTable[Sub-categories],DeptCatSubTable[Categories]=DropDownLists!BI2,"")))</f>
        <v>Cushions &amp; Throws</v>
      </c>
      <c r="BJ3" t="str" cm="1">
        <f t="array" ref="BJ3:BJ8">_xlfn._xlws.SORT(_xlfn.UNIQUE(_xlfn._xlws.FILTER(DeptCatSubTable[Sub-categories],DeptCatSubTable[Categories]=DropDownLists!BJ2,"")))</f>
        <v>Bar Cart/Wine Rack</v>
      </c>
      <c r="BK3" cm="1">
        <f t="array" ref="BK3">_xlfn._xlws.SORT(_xlfn.UNIQUE(_xlfn._xlws.FILTER(DeptCatSubTable[Sub-categories],DeptCatSubTable[Categories]=DropDownLists!BK2,"")))</f>
        <v>0</v>
      </c>
      <c r="BL3" cm="1">
        <f t="array" ref="BL3">_xlfn._xlws.SORT(_xlfn.UNIQUE(_xlfn._xlws.FILTER(DeptCatSubTable[Sub-categories],DeptCatSubTable[Categories]=DropDownLists!BL2,"")))</f>
        <v>0</v>
      </c>
      <c r="BM3" cm="1">
        <f t="array" ref="BM3">_xlfn._xlws.SORT(_xlfn.UNIQUE(_xlfn._xlws.FILTER(DeptCatSubTable[Sub-categories],DeptCatSubTable[Categories]=DropDownLists!BM2,"")))</f>
        <v>0</v>
      </c>
      <c r="BN3" cm="1">
        <f t="array" ref="BN3">_xlfn._xlws.SORT(_xlfn.UNIQUE(_xlfn._xlws.FILTER(DeptCatSubTable[Sub-categories],DeptCatSubTable[Categories]=DropDownLists!BN2,"")))</f>
        <v>0</v>
      </c>
      <c r="BO3" t="str" cm="1">
        <f t="array" ref="BO3:BO6">_xlfn._xlws.SORT(_xlfn.UNIQUE(_xlfn._xlws.FILTER(DeptCatSubTable[Sub-categories],DeptCatSubTable[Categories]=DropDownLists!BO2,"")))</f>
        <v>Cotton - COTTN</v>
      </c>
      <c r="BP3" cm="1">
        <f t="array" ref="BP3">_xlfn._xlws.SORT(_xlfn.UNIQUE(_xlfn._xlws.FILTER(DeptCatSubTable[Sub-categories],DeptCatSubTable[Categories]=DropDownLists!BP2,"")))</f>
        <v>0</v>
      </c>
      <c r="BQ3" cm="1">
        <f t="array" ref="BQ3">_xlfn._xlws.SORT(_xlfn.UNIQUE(_xlfn._xlws.FILTER(DeptCatSubTable[Sub-categories],DeptCatSubTable[Categories]=DropDownLists!BQ2,"")))</f>
        <v>0</v>
      </c>
      <c r="BR3" cm="1">
        <f t="array" ref="BR3">_xlfn._xlws.SORT(_xlfn.UNIQUE(_xlfn._xlws.FILTER(DeptCatSubTable[Sub-categories],DeptCatSubTable[Categories]=DropDownLists!BR2,"")))</f>
        <v>0</v>
      </c>
      <c r="BS3" cm="1">
        <f t="array" ref="BS3">_xlfn._xlws.SORT(_xlfn.UNIQUE(_xlfn._xlws.FILTER(DeptCatSubTable[Sub-categories],DeptCatSubTable[Categories]=DropDownLists!BS2,"")))</f>
        <v>0</v>
      </c>
      <c r="BT3" cm="1">
        <f t="array" ref="BT3">_xlfn._xlws.SORT(_xlfn.UNIQUE(_xlfn._xlws.FILTER(DeptCatSubTable[Sub-categories],DeptCatSubTable[Categories]=DropDownLists!BT2,"")))</f>
        <v>0</v>
      </c>
      <c r="BU3" t="str" cm="1">
        <f t="array" ref="BU3:BU7">_xlfn._xlws.SORT(_xlfn.UNIQUE(_xlfn._xlws.FILTER(DeptCatSubTable[Sub-categories],DeptCatSubTable[Categories]=DropDownLists!BU2,"")))</f>
        <v>Candy-CANDY</v>
      </c>
      <c r="BV3" cm="1">
        <f t="array" ref="BV3">_xlfn._xlws.SORT(_xlfn.UNIQUE(_xlfn._xlws.FILTER(DeptCatSubTable[Sub-categories],DeptCatSubTable[Categories]=DropDownLists!BV2,"")))</f>
        <v>0</v>
      </c>
      <c r="BW3" cm="1">
        <f t="array" ref="BW3">_xlfn._xlws.SORT(_xlfn.UNIQUE(_xlfn._xlws.FILTER(DeptCatSubTable[Sub-categories],DeptCatSubTable[Categories]=DropDownLists!BW2,"")))</f>
        <v>0</v>
      </c>
      <c r="BX3" t="str" cm="1">
        <f t="array" ref="BX3:BX6">_xlfn._xlws.SORT(_xlfn.UNIQUE(_xlfn._xlws.FILTER(DeptCatSubTable[Sub-categories],DeptCatSubTable[Categories]=DropDownLists!BX2,"")))</f>
        <v>Fencing - FENCE</v>
      </c>
      <c r="BY3" cm="1">
        <f t="array" ref="BY3">_xlfn._xlws.SORT(_xlfn.UNIQUE(_xlfn._xlws.FILTER(DeptCatSubTable[Sub-categories],DeptCatSubTable[Categories]=DropDownLists!BY2,"")))</f>
        <v>0</v>
      </c>
      <c r="BZ3" cm="1">
        <f t="array" ref="BZ3">_xlfn._xlws.SORT(_xlfn.UNIQUE(_xlfn._xlws.FILTER(DeptCatSubTable[Sub-categories],DeptCatSubTable[Categories]=DropDownLists!BZ2,"")))</f>
        <v>0</v>
      </c>
      <c r="CA3" cm="1">
        <f t="array" ref="CA3">_xlfn._xlws.SORT(_xlfn.UNIQUE(_xlfn._xlws.FILTER(DeptCatSubTable[Sub-categories],DeptCatSubTable[Categories]=DropDownLists!CA2,"")))</f>
        <v>0</v>
      </c>
      <c r="CB3" cm="1">
        <f t="array" ref="CB3">_xlfn._xlws.SORT(_xlfn.UNIQUE(_xlfn._xlws.FILTER(DeptCatSubTable[Sub-categories],DeptCatSubTable[Categories]=DropDownLists!CB2,"")))</f>
        <v>0</v>
      </c>
      <c r="CC3" t="str" cm="1">
        <f t="array" ref="CC3:CC12">_xlfn._xlws.SORT(_xlfn.UNIQUE(_xlfn._xlws.FILTER(DeptCatSubTable[Sub-categories],DeptCatSubTable[Categories]=DropDownLists!CC2,"")))</f>
        <v xml:space="preserve">Back to School </v>
      </c>
      <c r="CD3" t="str" cm="1">
        <f t="array" ref="CD3:CD10">_xlfn._xlws.SORT(_xlfn.UNIQUE(_xlfn._xlws.FILTER(DeptCatSubTable[Sub-categories],DeptCatSubTable[Categories]=DropDownLists!CD2,"")))</f>
        <v xml:space="preserve">Baselayers </v>
      </c>
      <c r="CE3" t="str" cm="1">
        <f t="array" ref="CE3:CE7">_xlfn._xlws.SORT(_xlfn.UNIQUE(_xlfn._xlws.FILTER(DeptCatSubTable[Sub-categories],DeptCatSubTable[Categories]=DropDownLists!CE2,"")))</f>
        <v xml:space="preserve">Athletic </v>
      </c>
      <c r="CF3" cm="1">
        <f t="array" ref="CF3">_xlfn._xlws.SORT(_xlfn.UNIQUE(_xlfn._xlws.FILTER(DeptCatSubTable[Sub-categories],DeptCatSubTable[Categories]=DropDownLists!CF2,"")))</f>
        <v>0</v>
      </c>
      <c r="CG3" cm="1">
        <f t="array" ref="CG3">_xlfn._xlws.SORT(_xlfn.UNIQUE(_xlfn._xlws.FILTER(DeptCatSubTable[Sub-categories],DeptCatSubTable[Categories]=DropDownLists!CG2,"")))</f>
        <v>0</v>
      </c>
      <c r="CH3" cm="1">
        <f t="array" ref="CH3">_xlfn._xlws.SORT(_xlfn.UNIQUE(_xlfn._xlws.FILTER(DeptCatSubTable[Sub-categories],DeptCatSubTable[Categories]=DropDownLists!CH2,"")))</f>
        <v>0</v>
      </c>
      <c r="CI3" cm="1">
        <f t="array" ref="CI3">_xlfn._xlws.SORT(_xlfn.UNIQUE(_xlfn._xlws.FILTER(DeptCatSubTable[Sub-categories],DeptCatSubTable[Categories]=DropDownLists!CI2,"")))</f>
        <v>0</v>
      </c>
      <c r="CJ3" cm="1">
        <f t="array" ref="CJ3">_xlfn._xlws.SORT(_xlfn.UNIQUE(_xlfn._xlws.FILTER(DeptCatSubTable[Sub-categories],DeptCatSubTable[Categories]=DropDownLists!CJ2,"")))</f>
        <v>0</v>
      </c>
      <c r="CK3" cm="1">
        <f t="array" ref="CK3">_xlfn._xlws.SORT(_xlfn.UNIQUE(_xlfn._xlws.FILTER(DeptCatSubTable[Sub-categories],DeptCatSubTable[Categories]=DropDownLists!CK2,"")))</f>
        <v>0</v>
      </c>
      <c r="CL3" t="str" cm="1">
        <f t="array" ref="CL3:CL4">_xlfn._xlws.SORT(_xlfn.UNIQUE(_xlfn._xlws.FILTER(DeptCatSubTable[Sub-categories],DeptCatSubTable[Categories]=DropDownLists!CL2,"")))</f>
        <v>Finished</v>
      </c>
      <c r="CM3" cm="1">
        <f t="array" ref="CM3">_xlfn._xlws.SORT(_xlfn.UNIQUE(_xlfn._xlws.FILTER(DeptCatSubTable[Sub-categories],DeptCatSubTable[Categories]=DropDownLists!CM2,"")))</f>
        <v>0</v>
      </c>
      <c r="CN3" cm="1">
        <f t="array" ref="CN3">_xlfn._xlws.SORT(_xlfn.UNIQUE(_xlfn._xlws.FILTER(DeptCatSubTable[Sub-categories],DeptCatSubTable[Categories]=DropDownLists!CN2,"")))</f>
        <v>0</v>
      </c>
      <c r="CO3" cm="1">
        <f t="array" ref="CO3">_xlfn._xlws.SORT(_xlfn.UNIQUE(_xlfn._xlws.FILTER(DeptCatSubTable[Sub-categories],DeptCatSubTable[Categories]=DropDownLists!CO2,"")))</f>
        <v>0</v>
      </c>
      <c r="CP3" cm="1">
        <f t="array" ref="CP3">_xlfn._xlws.SORT(_xlfn.UNIQUE(_xlfn._xlws.FILTER(DeptCatSubTable[Sub-categories],DeptCatSubTable[Categories]=DropDownLists!CP2,"")))</f>
        <v>0</v>
      </c>
      <c r="CQ3" cm="1">
        <f t="array" ref="CQ3">_xlfn._xlws.SORT(_xlfn.UNIQUE(_xlfn._xlws.FILTER(DeptCatSubTable[Sub-categories],DeptCatSubTable[Categories]=DropDownLists!CQ2,"")))</f>
        <v>0</v>
      </c>
      <c r="CR3" cm="1">
        <f t="array" ref="CR3">_xlfn._xlws.SORT(_xlfn.UNIQUE(_xlfn._xlws.FILTER(DeptCatSubTable[Sub-categories],DeptCatSubTable[Categories]=DropDownLists!CR2,"")))</f>
        <v>0</v>
      </c>
      <c r="CS3" cm="1">
        <f t="array" ref="CS3">_xlfn._xlws.SORT(_xlfn.UNIQUE(_xlfn._xlws.FILTER(DeptCatSubTable[Sub-categories],DeptCatSubTable[Categories]=DropDownLists!CS2,"")))</f>
        <v>0</v>
      </c>
      <c r="CT3" t="str" cm="1">
        <f t="array" ref="CT3:CT9">_xlfn._xlws.SORT(_xlfn.UNIQUE(_xlfn._xlws.FILTER(DeptCatSubTable[Sub-categories],DeptCatSubTable[Categories]=DropDownLists!CT2,"")))</f>
        <v>Boots - BOOTS</v>
      </c>
      <c r="CU3" cm="1">
        <f t="array" ref="CU3">_xlfn._xlws.SORT(_xlfn.UNIQUE(_xlfn._xlws.FILTER(DeptCatSubTable[Sub-categories],DeptCatSubTable[Categories]=DropDownLists!CU2,"")))</f>
        <v>0</v>
      </c>
      <c r="CV3" cm="1">
        <f t="array" ref="CV3">_xlfn._xlws.SORT(_xlfn.UNIQUE(_xlfn._xlws.FILTER(DeptCatSubTable[Sub-categories],DeptCatSubTable[Categories]=DropDownLists!CV2,"")))</f>
        <v>0</v>
      </c>
      <c r="CW3" cm="1">
        <f t="array" ref="CW3">_xlfn._xlws.SORT(_xlfn.UNIQUE(_xlfn._xlws.FILTER(DeptCatSubTable[Sub-categories],DeptCatSubTable[Categories]=DropDownLists!CW2,"")))</f>
        <v>0</v>
      </c>
      <c r="CX3" t="str" cm="1">
        <f t="array" ref="CX3:CX10">_xlfn._xlws.SORT(_xlfn.UNIQUE(_xlfn._xlws.FILTER(DeptCatSubTable[Sub-categories],DeptCatSubTable[Categories]=DropDownLists!CX2,"")))</f>
        <v>Armchairs</v>
      </c>
      <c r="CY3" t="str" cm="1">
        <f t="array" ref="CY3:CY4">_xlfn._xlws.SORT(_xlfn.UNIQUE(_xlfn._xlws.FILTER(DeptCatSubTable[Sub-categories],DeptCatSubTable[Categories]=DropDownLists!CY2,"")))</f>
        <v>Bookbags- BKBG</v>
      </c>
      <c r="CZ3" t="str" cm="1">
        <f t="array" ref="CZ3:CZ4">_xlfn._xlws.SORT(_xlfn.UNIQUE(_xlfn._xlws.FILTER(DeptCatSubTable[Sub-categories],DeptCatSubTable[Categories]=DropDownLists!CZ2,"")))</f>
        <v xml:space="preserve">Adult </v>
      </c>
      <c r="DA3" t="str" cm="1">
        <f t="array" ref="DA3:DA4">_xlfn._xlws.SORT(_xlfn.UNIQUE(_xlfn._xlws.FILTER(DeptCatSubTable[Sub-categories],DeptCatSubTable[Categories]=DropDownLists!DA2,"")))</f>
        <v>Exterior</v>
      </c>
      <c r="DB3" t="str" cm="1">
        <f t="array" ref="DB3:DB8">_xlfn._xlws.SORT(_xlfn.UNIQUE(_xlfn._xlws.FILTER(DeptCatSubTable[Sub-categories],DeptCatSubTable[Categories]=DropDownLists!DB2,"")))</f>
        <v>California King</v>
      </c>
      <c r="DC3" t="str" cm="1">
        <f t="array" ref="DC3:DC12">_xlfn._xlws.SORT(_xlfn.UNIQUE(_xlfn._xlws.FILTER(DeptCatSubTable[Sub-categories],DeptCatSubTable[Categories]=DropDownLists!DC2,"")))</f>
        <v xml:space="preserve">Fall </v>
      </c>
      <c r="DD3" t="str" cm="1">
        <f t="array" ref="DD3:DD9">_xlfn._xlws.SORT(_xlfn.UNIQUE(_xlfn._xlws.FILTER(DeptCatSubTable[Sub-categories],DeptCatSubTable[Categories]=DropDownLists!DD2,"")))</f>
        <v>Boots - BOOTS</v>
      </c>
      <c r="DE3" t="str" cm="1">
        <f t="array" ref="DE3:DE10">_xlfn._xlws.SORT(_xlfn.UNIQUE(_xlfn._xlws.FILTER(DeptCatSubTable[Sub-categories],DeptCatSubTable[Categories]=DropDownLists!DE2,"")))</f>
        <v xml:space="preserve">Baselayers </v>
      </c>
      <c r="DF3" t="str" cm="1">
        <f t="array" ref="DF3:DF7">_xlfn._xlws.SORT(_xlfn.UNIQUE(_xlfn._xlws.FILTER(DeptCatSubTable[Sub-categories],DeptCatSubTable[Categories]=DropDownLists!DF2,"")))</f>
        <v xml:space="preserve">Athletic </v>
      </c>
      <c r="DG3" t="str" cm="1">
        <f t="array" ref="DG3:DG9">_xlfn._xlws.SORT(_xlfn.UNIQUE(_xlfn._xlws.FILTER(DeptCatSubTable[Sub-categories],DeptCatSubTable[Categories]=DropDownLists!DG2,"")))</f>
        <v>Boots - BOOTS</v>
      </c>
      <c r="DH3" cm="1">
        <f t="array" ref="DH3">_xlfn._xlws.SORT(_xlfn.UNIQUE(_xlfn._xlws.FILTER(DeptCatSubTable[Sub-categories],DeptCatSubTable[Categories]=DropDownLists!DH2,"")))</f>
        <v>0</v>
      </c>
      <c r="DI3" cm="1">
        <f t="array" ref="DI3">_xlfn._xlws.SORT(_xlfn.UNIQUE(_xlfn._xlws.FILTER(DeptCatSubTable[Sub-categories],DeptCatSubTable[Categories]=DropDownLists!DI2,"")))</f>
        <v>0</v>
      </c>
      <c r="DJ3" t="str" cm="1">
        <f t="array" ref="DJ3:DJ4">_xlfn._xlws.SORT(_xlfn.UNIQUE(_xlfn._xlws.FILTER(DeptCatSubTable[Sub-categories],DeptCatSubTable[Categories]=DropDownLists!DJ2,"")))</f>
        <v>Cable - CABLE</v>
      </c>
      <c r="DK3" t="str" cm="1">
        <f t="array" ref="DK3:DK7">_xlfn._xlws.SORT(_xlfn.UNIQUE(_xlfn._xlws.FILTER(DeptCatSubTable[Sub-categories],DeptCatSubTable[Categories]=DropDownLists!DK2,"")))</f>
        <v>Bookcases</v>
      </c>
      <c r="DL3" cm="1">
        <f t="array" ref="DL3">_xlfn._xlws.SORT(_xlfn.UNIQUE(_xlfn._xlws.FILTER(DeptCatSubTable[Sub-categories],DeptCatSubTable[Categories]=DropDownLists!DL2,"")))</f>
        <v>0</v>
      </c>
      <c r="DM3" t="str" cm="1">
        <f t="array" ref="DM3:DM4">_xlfn._xlws.SORT(_xlfn.UNIQUE(_xlfn._xlws.FILTER(DeptCatSubTable[Sub-categories],DeptCatSubTable[Categories]=DropDownLists!DM2,"")))</f>
        <v>Bath</v>
      </c>
      <c r="DN3" cm="1">
        <f t="array" ref="DN3">_xlfn._xlws.SORT(_xlfn.UNIQUE(_xlfn._xlws.FILTER(DeptCatSubTable[Sub-categories],DeptCatSubTable[Categories]=DropDownLists!DN2,"")))</f>
        <v>0</v>
      </c>
      <c r="DO3" t="str" cm="1">
        <f t="array" ref="DO3:DO7">_xlfn._xlws.SORT(_xlfn.UNIQUE(_xlfn._xlws.FILTER(DeptCatSubTable[Sub-categories],DeptCatSubTable[Categories]=DropDownLists!DO2,"")))</f>
        <v>Lounge Chairs</v>
      </c>
      <c r="DP3" t="str" cm="1">
        <f t="array" ref="DP3:DP6">_xlfn._xlws.SORT(_xlfn.UNIQUE(_xlfn._xlws.FILTER(DeptCatSubTable[Sub-categories],DeptCatSubTable[Categories]=DropDownLists!DP2,"")))</f>
        <v>Bird (Houses &amp; Feed) - BIRD</v>
      </c>
      <c r="DQ3" t="str" cm="1">
        <f t="array" ref="DQ3:DQ5">_xlfn._xlws.SORT(_xlfn.UNIQUE(_xlfn._xlws.FILTER(DeptCatSubTable[Sub-categories],DeptCatSubTable[Categories]=DropDownLists!DQ2,"")))</f>
        <v>Carpet Pad</v>
      </c>
      <c r="DR3" t="str" cm="1">
        <f t="array" ref="DR3:DR9">_xlfn._xlws.SORT(_xlfn.UNIQUE(_xlfn._xlws.FILTER(DeptCatSubTable[Sub-categories],DeptCatSubTable[Categories]=DropDownLists!DR2,"")))</f>
        <v>Brushes - BRUSH</v>
      </c>
      <c r="DS3" cm="1">
        <f t="array" ref="DS3">_xlfn._xlws.SORT(_xlfn.UNIQUE(_xlfn._xlws.FILTER(DeptCatSubTable[Sub-categories],DeptCatSubTable[Categories]=DropDownLists!DS2,"")))</f>
        <v>0</v>
      </c>
      <c r="DT3" cm="1">
        <f t="array" ref="DT3">_xlfn._xlws.SORT(_xlfn.UNIQUE(_xlfn._xlws.FILTER(DeptCatSubTable[Sub-categories],DeptCatSubTable[Categories]=DropDownLists!DT2,"")))</f>
        <v>0</v>
      </c>
      <c r="DU3" cm="1">
        <f t="array" ref="DU3">_xlfn._xlws.SORT(_xlfn.UNIQUE(_xlfn._xlws.FILTER(DeptCatSubTable[Sub-categories],DeptCatSubTable[Categories]=DropDownLists!DU2,"")))</f>
        <v>0</v>
      </c>
      <c r="DV3" cm="1">
        <f t="array" ref="DV3">_xlfn._xlws.SORT(_xlfn.UNIQUE(_xlfn._xlws.FILTER(DeptCatSubTable[Sub-categories],DeptCatSubTable[Categories]=DropDownLists!DV2,"")))</f>
        <v>0</v>
      </c>
      <c r="DW3" cm="1">
        <f t="array" ref="DW3">_xlfn._xlws.SORT(_xlfn.UNIQUE(_xlfn._xlws.FILTER(DeptCatSubTable[Sub-categories],DeptCatSubTable[Categories]=DropDownLists!DW2,"")))</f>
        <v>0</v>
      </c>
      <c r="DX3" cm="1">
        <f t="array" ref="DX3">_xlfn._xlws.SORT(_xlfn.UNIQUE(_xlfn._xlws.FILTER(DeptCatSubTable[Sub-categories],DeptCatSubTable[Categories]=DropDownLists!DX2,"")))</f>
        <v>0</v>
      </c>
      <c r="DY3" cm="1">
        <f t="array" ref="DY3">_xlfn._xlws.SORT(_xlfn.UNIQUE(_xlfn._xlws.FILTER(DeptCatSubTable[Sub-categories],DeptCatSubTable[Categories]=DropDownLists!DY2,"")))</f>
        <v>0</v>
      </c>
      <c r="DZ3" t="str" cm="1">
        <f t="array" ref="DZ3:DZ4">_xlfn._xlws.SORT(_xlfn.UNIQUE(_xlfn._xlws.FILTER(DeptCatSubTable[Sub-categories],DeptCatSubTable[Categories]=DropDownLists!DZ2,"")))</f>
        <v>Bed</v>
      </c>
      <c r="EA3" cm="1">
        <f t="array" ref="EA3">_xlfn._xlws.SORT(_xlfn.UNIQUE(_xlfn._xlws.FILTER(DeptCatSubTable[Sub-categories],DeptCatSubTable[Categories]=DropDownLists!EA2,"")))</f>
        <v>0</v>
      </c>
      <c r="EB3" cm="1">
        <f t="array" ref="EB3">_xlfn._xlws.SORT(_xlfn.UNIQUE(_xlfn._xlws.FILTER(DeptCatSubTable[Sub-categories],DeptCatSubTable[Categories]=DropDownLists!EB2,"")))</f>
        <v>0</v>
      </c>
      <c r="EC3" cm="1">
        <f t="array" ref="EC3">_xlfn._xlws.SORT(_xlfn.UNIQUE(_xlfn._xlws.FILTER(DeptCatSubTable[Sub-categories],DeptCatSubTable[Categories]=DropDownLists!EC2,"")))</f>
        <v>0</v>
      </c>
      <c r="ED3" cm="1">
        <f t="array" ref="ED3">_xlfn._xlws.SORT(_xlfn.UNIQUE(_xlfn._xlws.FILTER(DeptCatSubTable[Sub-categories],DeptCatSubTable[Categories]=DropDownLists!ED2,"")))</f>
        <v>0</v>
      </c>
      <c r="EE3" cm="1">
        <f t="array" ref="EE3">_xlfn._xlws.SORT(_xlfn.UNIQUE(_xlfn._xlws.FILTER(DeptCatSubTable[Sub-categories],DeptCatSubTable[Categories]=DropDownLists!EE2,"")))</f>
        <v>0</v>
      </c>
      <c r="EF3" t="str" cm="1">
        <f t="array" ref="EF3:EF8">_xlfn._xlws.SORT(_xlfn.UNIQUE(_xlfn._xlws.FILTER(DeptCatSubTable[Sub-categories],DeptCatSubTable[Categories]=DropDownLists!EF2,"")))</f>
        <v>Area Rugs</v>
      </c>
      <c r="EG3" cm="1">
        <f t="array" ref="EG3">_xlfn._xlws.SORT(_xlfn.UNIQUE(_xlfn._xlws.FILTER(DeptCatSubTable[Sub-categories],DeptCatSubTable[Categories]=DropDownLists!EG2,"")))</f>
        <v>0</v>
      </c>
      <c r="EH3" cm="1">
        <f t="array" ref="EH3">_xlfn._xlws.SORT(_xlfn.UNIQUE(_xlfn._xlws.FILTER(DeptCatSubTable[Sub-categories],DeptCatSubTable[Categories]=DropDownLists!EH2,"")))</f>
        <v>0</v>
      </c>
      <c r="EI3" t="str" cm="1">
        <f t="array" ref="EI3">_xlfn._xlws.SORT(_xlfn.UNIQUE(_xlfn._xlws.FILTER(DeptCatSubTable[Sub-categories],DeptCatSubTable[Categories]=DropDownLists!EI2,"")))</f>
        <v>add sizing?</v>
      </c>
      <c r="EJ3" cm="1">
        <f t="array" ref="EJ3">_xlfn._xlws.SORT(_xlfn.UNIQUE(_xlfn._xlws.FILTER(DeptCatSubTable[Sub-categories],DeptCatSubTable[Categories]=DropDownLists!EJ2,"")))</f>
        <v>0</v>
      </c>
      <c r="EK3" cm="1">
        <f t="array" ref="EK3">_xlfn._xlws.SORT(_xlfn.UNIQUE(_xlfn._xlws.FILTER(DeptCatSubTable[Sub-categories],DeptCatSubTable[Categories]=DropDownLists!EK2,"")))</f>
        <v>0</v>
      </c>
      <c r="EL3" t="str" cm="1">
        <f t="array" ref="EL3:EL4">_xlfn._xlws.SORT(_xlfn.UNIQUE(_xlfn._xlws.FILTER(DeptCatSubTable[Sub-categories],DeptCatSubTable[Categories]=DropDownLists!EL2,"")))</f>
        <v>Salt/Ice Melt - MELT</v>
      </c>
      <c r="EM3" cm="1">
        <f t="array" ref="EM3">_xlfn._xlws.SORT(_xlfn.UNIQUE(_xlfn._xlws.FILTER(DeptCatSubTable[Sub-categories],DeptCatSubTable[Categories]=DropDownLists!EM2,"")))</f>
        <v>0</v>
      </c>
      <c r="EN3" cm="1">
        <f t="array" ref="EN3">_xlfn._xlws.SORT(_xlfn.UNIQUE(_xlfn._xlws.FILTER(DeptCatSubTable[Sub-categories],DeptCatSubTable[Categories]=DropDownLists!EN2,"")))</f>
        <v>0</v>
      </c>
      <c r="EO3" cm="1">
        <f t="array" ref="EO3">_xlfn._xlws.SORT(_xlfn.UNIQUE(_xlfn._xlws.FILTER(DeptCatSubTable[Sub-categories],DeptCatSubTable[Categories]=DropDownLists!EO2,"")))</f>
        <v>0</v>
      </c>
      <c r="EP3" cm="1">
        <f t="array" ref="EP3">_xlfn._xlws.SORT(_xlfn.UNIQUE(_xlfn._xlws.FILTER(DeptCatSubTable[Sub-categories],DeptCatSubTable[Categories]=DropDownLists!EP2,"")))</f>
        <v>0</v>
      </c>
      <c r="EQ3" cm="1">
        <f t="array" ref="EQ3">_xlfn._xlws.SORT(_xlfn.UNIQUE(_xlfn._xlws.FILTER(DeptCatSubTable[Sub-categories],DeptCatSubTable[Categories]=DropDownLists!EQ2,"")))</f>
        <v>0</v>
      </c>
      <c r="ER3" t="str" cm="1">
        <f t="array" ref="ER3:ER6">_xlfn._xlws.SORT(_xlfn.UNIQUE(_xlfn._xlws.FILTER(DeptCatSubTable[Sub-categories],DeptCatSubTable[Categories]=DropDownLists!ER2,"")))</f>
        <v>Cabinets</v>
      </c>
      <c r="ES3" cm="1">
        <f t="array" ref="ES3">_xlfn._xlws.SORT(_xlfn.UNIQUE(_xlfn._xlws.FILTER(DeptCatSubTable[Sub-categories],DeptCatSubTable[Categories]=DropDownLists!ES2,"")))</f>
        <v>0</v>
      </c>
      <c r="ET3" t="str" cm="1">
        <f t="array" ref="ET3:ET7">_xlfn._xlws.SORT(_xlfn.UNIQUE(_xlfn._xlws.FILTER(DeptCatSubTable[Sub-categories],DeptCatSubTable[Categories]=DropDownLists!ET2,"")))</f>
        <v>Duct Tape - DUCT</v>
      </c>
      <c r="EU3" t="str" cm="1">
        <f t="array" ref="EU3:EU5">_xlfn._xlws.SORT(_xlfn.UNIQUE(_xlfn._xlws.FILTER(DeptCatSubTable[Sub-categories],DeptCatSubTable[Categories]=DropDownLists!EU2,"")))</f>
        <v>Extra Heavy Duty - XHD</v>
      </c>
      <c r="EV3" cm="1">
        <f t="array" ref="EV3">_xlfn._xlws.SORT(_xlfn.UNIQUE(_xlfn._xlws.FILTER(DeptCatSubTable[Sub-categories],DeptCatSubTable[Categories]=DropDownLists!EV2,"")))</f>
        <v>0</v>
      </c>
      <c r="EW3" t="str" cm="1">
        <f t="array" ref="EW3:EW4">_xlfn._xlws.SORT(_xlfn.UNIQUE(_xlfn._xlws.FILTER(DeptCatSubTable[Sub-categories],DeptCatSubTable[Categories]=DropDownLists!EW2,"")))</f>
        <v>Ceramic</v>
      </c>
      <c r="EX3" cm="1">
        <f t="array" ref="EX3">_xlfn._xlws.SORT(_xlfn.UNIQUE(_xlfn._xlws.FILTER(DeptCatSubTable[Sub-categories],DeptCatSubTable[Categories]=DropDownLists!EX2,"")))</f>
        <v>0</v>
      </c>
      <c r="EY3" t="str" cm="1">
        <f t="array" ref="EY3:EY7">_xlfn._xlws.SORT(_xlfn.UNIQUE(_xlfn._xlws.FILTER(DeptCatSubTable[Sub-categories],DeptCatSubTable[Categories]=DropDownLists!EY2,"")))</f>
        <v>Bath - BATH</v>
      </c>
      <c r="EZ3" t="str" cm="1">
        <f t="array" ref="EZ3:EZ5">_xlfn._xlws.SORT(_xlfn.UNIQUE(_xlfn._xlws.FILTER(DeptCatSubTable[Sub-categories],DeptCatSubTable[Categories]=DropDownLists!EZ2,"")))</f>
        <v>Bulk Toys- BULK</v>
      </c>
      <c r="FA3" cm="1">
        <f t="array" ref="FA3">_xlfn._xlws.SORT(_xlfn.UNIQUE(_xlfn._xlws.FILTER(DeptCatSubTable[Sub-categories],DeptCatSubTable[Categories]=DropDownLists!FA2,"")))</f>
        <v>0</v>
      </c>
      <c r="FB3" t="str" cm="1">
        <f t="array" ref="FB3:FB4">_xlfn._xlws.SORT(_xlfn.UNIQUE(_xlfn._xlws.FILTER(DeptCatSubTable[Sub-categories],DeptCatSubTable[Categories]=DropDownLists!FB2,"")))</f>
        <v>Batting - BATNG</v>
      </c>
      <c r="FC3" t="str" cm="1">
        <f t="array" ref="FC3:FC4">_xlfn._xlws.SORT(_xlfn.UNIQUE(_xlfn._xlws.FILTER(DeptCatSubTable[Sub-categories],DeptCatSubTable[Categories]=DropDownLists!FC2,"")))</f>
        <v>Rems</v>
      </c>
      <c r="FD3" t="str" cm="1">
        <f t="array" ref="FD3:FD5">_xlfn._xlws.SORT(_xlfn.UNIQUE(_xlfn._xlws.FILTER(DeptCatSubTable[Sub-categories],DeptCatSubTable[Categories]=DropDownLists!FD2,"")))</f>
        <v>Click</v>
      </c>
      <c r="FE3" t="str" cm="1">
        <f t="array" ref="FE3:FE5">_xlfn._xlws.SORT(_xlfn.UNIQUE(_xlfn._xlws.FILTER(DeptCatSubTable[Sub-categories],DeptCatSubTable[Categories]=DropDownLists!FE2,"")))</f>
        <v>Art - WLART</v>
      </c>
      <c r="FF3" t="str" cm="1">
        <f t="array" ref="FF3:FF9">_xlfn._xlws.SORT(_xlfn.UNIQUE(_xlfn._xlws.FILTER(DeptCatSubTable[Sub-categories],DeptCatSubTable[Categories]=DropDownLists!FF2,"")))</f>
        <v>Boots - BOOTS</v>
      </c>
    </row>
    <row r="4" spans="1:169" x14ac:dyDescent="0.25">
      <c r="A4" t="str">
        <v>Consumables - CON</v>
      </c>
      <c r="B4" t="str">
        <v>Accent Furniture</v>
      </c>
      <c r="C4" t="str">
        <v>Boys - BOYS</v>
      </c>
      <c r="D4" t="str">
        <v>Food - FOOD</v>
      </c>
      <c r="E4" t="str">
        <v>Comforters - COMF</v>
      </c>
      <c r="F4" t="str">
        <v>Monks Cloth</v>
      </c>
      <c r="G4" t="str">
        <v>Carpet</v>
      </c>
      <c r="H4" t="str">
        <v>Accent Furniture</v>
      </c>
      <c r="I4" t="str">
        <v>Baby</v>
      </c>
      <c r="J4" t="str">
        <v>Flashlights - FLASH</v>
      </c>
      <c r="K4" t="str">
        <v>Cookware - CKW</v>
      </c>
      <c r="L4" t="str">
        <v>Pet Beds - BEDS</v>
      </c>
      <c r="M4" t="str">
        <v>Consumables - CON</v>
      </c>
      <c r="N4" t="str">
        <v>Mens - SMENS</v>
      </c>
      <c r="O4" t="str">
        <v>Girls Socks - GIRLS</v>
      </c>
      <c r="P4" t="str">
        <v>Girls Acc - GIRLS</v>
      </c>
      <c r="Q4" t="str">
        <v>Basketball - BBALL</v>
      </c>
      <c r="AB4" t="str">
        <v>Crafts</v>
      </c>
      <c r="AC4" t="str">
        <v>Detailing - DTAIL</v>
      </c>
      <c r="AE4" t="str">
        <v>Marketing / Promo</v>
      </c>
      <c r="AK4" t="str">
        <v>Box Spring/Foundations</v>
      </c>
      <c r="AL4" t="str">
        <v>Cleaning Kits</v>
      </c>
      <c r="AM4" t="str">
        <v>Bed - Queen</v>
      </c>
      <c r="AN4" t="str">
        <v>Throw</v>
      </c>
      <c r="AP4" t="str">
        <v>Puzzle/Games</v>
      </c>
      <c r="AR4" t="str">
        <v xml:space="preserve">Fall </v>
      </c>
      <c r="AS4" t="str">
        <v xml:space="preserve">Belts </v>
      </c>
      <c r="AT4" t="str">
        <v xml:space="preserve">Fall </v>
      </c>
      <c r="AU4" t="str">
        <v>Tents/Shelters - TENT</v>
      </c>
      <c r="AW4" t="str">
        <v>Rolls</v>
      </c>
      <c r="AZ4" t="str">
        <v>Cribs &amp; Toddler Beds</v>
      </c>
      <c r="BI4" t="str">
        <v>Lamps &amp; Lighting</v>
      </c>
      <c r="BJ4" t="str">
        <v>Buffets</v>
      </c>
      <c r="BO4" t="str">
        <v>Fashion - FASHN</v>
      </c>
      <c r="BU4" t="str">
        <v>Canned Goods - CAN</v>
      </c>
      <c r="BX4" t="str">
        <v>Hand Tools - GTOOL</v>
      </c>
      <c r="CC4" t="str">
        <v xml:space="preserve">Fall </v>
      </c>
      <c r="CD4" t="str">
        <v xml:space="preserve">Belts </v>
      </c>
      <c r="CE4" t="str">
        <v xml:space="preserve">Fall </v>
      </c>
      <c r="CL4" t="str">
        <v>Unfinished</v>
      </c>
      <c r="CT4" t="str">
        <v>HASH</v>
      </c>
      <c r="CX4" t="str">
        <v>Bookcases/Shelving Units</v>
      </c>
      <c r="CY4" t="str">
        <v>Suitcase- SCSE</v>
      </c>
      <c r="CZ4" t="str">
        <v xml:space="preserve">Kids </v>
      </c>
      <c r="DA4" t="str">
        <v>Interior</v>
      </c>
      <c r="DB4" t="str">
        <v>Full/Double</v>
      </c>
      <c r="DC4" t="str">
        <v xml:space="preserve">Jean's </v>
      </c>
      <c r="DD4" t="str">
        <v>HASH</v>
      </c>
      <c r="DE4" t="str">
        <v xml:space="preserve">Belts </v>
      </c>
      <c r="DF4" t="str">
        <v xml:space="preserve">Fall </v>
      </c>
      <c r="DG4" t="str">
        <v>HASH</v>
      </c>
      <c r="DJ4" t="str">
        <v>Chain - CHAIN</v>
      </c>
      <c r="DK4" t="str">
        <v>Conference Tables</v>
      </c>
      <c r="DM4" t="str">
        <v>kitchen</v>
      </c>
      <c r="DO4" t="str">
        <v>Outdoor Sofas &amp; Sectionals</v>
      </c>
      <c r="DP4" t="str">
        <v>Décor- LAWN</v>
      </c>
      <c r="DQ4" t="str">
        <v>Laminate Pad</v>
      </c>
      <c r="DR4" t="str">
        <v>Drop Cloths - DROP</v>
      </c>
      <c r="DZ4" t="str">
        <v>Decorative</v>
      </c>
      <c r="EF4" t="str">
        <v>Bound Rugs</v>
      </c>
      <c r="EL4" t="str">
        <v>Shovels - SHVLS</v>
      </c>
      <c r="ER4" t="str">
        <v>Shelving Units</v>
      </c>
      <c r="ET4" t="str">
        <v>Electrical Tape - ELECT</v>
      </c>
      <c r="EU4" t="str">
        <v>Heavy Duty - HEAVY</v>
      </c>
      <c r="EW4" t="str">
        <v>Porcelain</v>
      </c>
      <c r="EY4" t="str">
        <v>Beach - BEACH</v>
      </c>
      <c r="EZ4" t="str">
        <v>Indoor - INDR</v>
      </c>
      <c r="FB4" t="str">
        <v>Foam - FOAM</v>
      </c>
      <c r="FC4" t="str">
        <v>Rolls</v>
      </c>
      <c r="FD4" t="str">
        <v>Floating</v>
      </c>
      <c r="FE4" t="str">
        <v>Clock - CLOCK</v>
      </c>
      <c r="FF4" t="str">
        <v>HASH</v>
      </c>
    </row>
    <row r="5" spans="1:169" x14ac:dyDescent="0.25">
      <c r="A5" t="str">
        <v>Domestics - DOM</v>
      </c>
      <c r="B5" t="str">
        <v>Adhesive</v>
      </c>
      <c r="C5" t="str">
        <v>Girls - GIRLS</v>
      </c>
      <c r="D5" t="str">
        <v>HBC/HBA - HBC</v>
      </c>
      <c r="E5" t="str">
        <v>Curtains/Drapes - CURT</v>
      </c>
      <c r="F5" t="str">
        <v>Notions - NOT</v>
      </c>
      <c r="G5" t="str">
        <v>Carpet Cores</v>
      </c>
      <c r="H5" t="str">
        <v>Bed Bases &amp; Frames</v>
      </c>
      <c r="I5" t="str">
        <v>Batteries - BATT</v>
      </c>
      <c r="J5" t="str">
        <v>Garden - GARD</v>
      </c>
      <c r="K5" t="str">
        <v>Dinnerware - DINN</v>
      </c>
      <c r="L5" t="str">
        <v>Pet Food - PFOOD</v>
      </c>
      <c r="M5" t="str">
        <v>Domestics - DOM</v>
      </c>
      <c r="N5" t="str">
        <v>Mixed gender</v>
      </c>
      <c r="O5" t="str">
        <v>Mens Socks - MENS</v>
      </c>
      <c r="P5" t="str">
        <v>Mens Acc - MENS</v>
      </c>
      <c r="Q5" t="str">
        <v>Boating - BOAT</v>
      </c>
      <c r="AC5" t="str">
        <v>Floor Mats - MATS</v>
      </c>
      <c r="AE5" t="str">
        <v xml:space="preserve">Spring </v>
      </c>
      <c r="AK5" t="str">
        <v>Headboards &amp; Footboards</v>
      </c>
      <c r="AL5" t="str">
        <v>Comforters &amp; Duvets</v>
      </c>
      <c r="AM5" t="str">
        <v>Bed - Twin</v>
      </c>
      <c r="AP5" t="str">
        <v>Reading</v>
      </c>
      <c r="AR5" t="str">
        <v>Marketing / Promo</v>
      </c>
      <c r="AS5" t="str">
        <v xml:space="preserve">Caps </v>
      </c>
      <c r="AT5" t="str">
        <v xml:space="preserve">Spring </v>
      </c>
      <c r="AZ5" t="str">
        <v>Kids Desks &amp; Chairs</v>
      </c>
      <c r="BI5" t="str">
        <v>Mirrors</v>
      </c>
      <c r="BJ5" t="str">
        <v>Counter-height Tables &amp; Stools</v>
      </c>
      <c r="BO5" t="str">
        <v>Fleece - FLEECE</v>
      </c>
      <c r="BU5" t="str">
        <v>Grocery - GROC</v>
      </c>
      <c r="BX5" t="str">
        <v>Hose - HOSE</v>
      </c>
      <c r="CC5" t="str">
        <v>Marketing / Promo</v>
      </c>
      <c r="CD5" t="str">
        <v>Bras - BRA</v>
      </c>
      <c r="CE5" t="str">
        <v xml:space="preserve">Spring </v>
      </c>
      <c r="CT5" t="str">
        <v>Sandals - SNDAL</v>
      </c>
      <c r="CX5" t="str">
        <v>Coffee/End Tables</v>
      </c>
      <c r="DB5" t="str">
        <v>King</v>
      </c>
      <c r="DC5" t="str">
        <v>Marketing / Promo</v>
      </c>
      <c r="DD5" t="str">
        <v>Sandals - SNDAL</v>
      </c>
      <c r="DE5" t="str">
        <v xml:space="preserve">Caps </v>
      </c>
      <c r="DF5" t="str">
        <v xml:space="preserve">Spring </v>
      </c>
      <c r="DG5" t="str">
        <v>Sandals - SNDAL</v>
      </c>
      <c r="DK5" t="str">
        <v>Desks</v>
      </c>
      <c r="DO5" t="str">
        <v>Patio Sets (Tables &amp; Chairs)</v>
      </c>
      <c r="DP5" t="str">
        <v>Pool Toys- POOL</v>
      </c>
      <c r="DQ5" t="str">
        <v>Non-skid Pad</v>
      </c>
      <c r="DR5" t="str">
        <v>Paint- PAINT</v>
      </c>
      <c r="EF5" t="str">
        <v>Patio Rugs</v>
      </c>
      <c r="ER5" t="str">
        <v>Shoe Racks</v>
      </c>
      <c r="ET5" t="str">
        <v>Masking Tape - MASK</v>
      </c>
      <c r="EU5" t="str">
        <v>Standard - STAND</v>
      </c>
      <c r="EY5" t="str">
        <v>Dish Towels - DISH</v>
      </c>
      <c r="EZ5" t="str">
        <v>Puzzles - PUZZ</v>
      </c>
      <c r="FD5" t="str">
        <v>Glue Down</v>
      </c>
      <c r="FE5" t="str">
        <v>Mirror - MIRR</v>
      </c>
      <c r="FF5" t="str">
        <v>Sandals - SNDAL</v>
      </c>
    </row>
    <row r="6" spans="1:169" x14ac:dyDescent="0.25">
      <c r="A6" t="str">
        <v>Fabric - FAB</v>
      </c>
      <c r="B6" t="str">
        <v>Art Supplies - ART</v>
      </c>
      <c r="C6" t="str">
        <v xml:space="preserve">Hunting </v>
      </c>
      <c r="D6" t="str">
        <v>Laundry - LAUN</v>
      </c>
      <c r="E6" t="str">
        <v>Pillows - PILLW</v>
      </c>
      <c r="F6" t="str">
        <v>Utility - UTIL</v>
      </c>
      <c r="G6" t="str">
        <v>Carpet Tile</v>
      </c>
      <c r="H6" t="str">
        <v>Bedding &amp; Accessories</v>
      </c>
      <c r="I6" t="str">
        <v>BBQ Items - BBQ</v>
      </c>
      <c r="J6" t="str">
        <v>Hand Tools - HAND</v>
      </c>
      <c r="K6" t="str">
        <v>Glassware - GLASS</v>
      </c>
      <c r="L6" t="str">
        <v>Pet Toys - PTOYS</v>
      </c>
      <c r="M6" t="str">
        <v>Fabric - FAB</v>
      </c>
      <c r="N6" t="str">
        <v>Womens - SWMNS</v>
      </c>
      <c r="O6" t="str">
        <v>Womens Socks - WOMEN</v>
      </c>
      <c r="P6" t="str">
        <v>Womens Acc - WOMEN</v>
      </c>
      <c r="Q6" t="str">
        <v>Fishing - FISH</v>
      </c>
      <c r="AC6" t="str">
        <v>Fluids - FLUID</v>
      </c>
      <c r="AE6" t="str">
        <v xml:space="preserve">Summer </v>
      </c>
      <c r="AK6" t="str">
        <v>Metal Frames</v>
      </c>
      <c r="AL6" t="str">
        <v>Mattress Bags/Covers (for moving/storage)</v>
      </c>
      <c r="AM6" t="str">
        <v>Dressers/Chest of Drawers</v>
      </c>
      <c r="AR6" t="str">
        <v xml:space="preserve">Outerwear - JKT </v>
      </c>
      <c r="AS6" t="str">
        <v xml:space="preserve">Mittens / Gloves </v>
      </c>
      <c r="AT6" t="str">
        <v xml:space="preserve">Summer </v>
      </c>
      <c r="AZ6" t="str">
        <v>Toy Storage</v>
      </c>
      <c r="BI6" t="str">
        <v>Rugs</v>
      </c>
      <c r="BJ6" t="str">
        <v>Dining Chairs</v>
      </c>
      <c r="BO6" t="str">
        <v>Home Décor - DÉCOR</v>
      </c>
      <c r="BU6" t="str">
        <v>Jarred Goods - JARS</v>
      </c>
      <c r="BX6" t="str">
        <v>Sprinklers, Nozzles - WATER</v>
      </c>
      <c r="CC6" t="str">
        <v xml:space="preserve">Outerwear - JKT </v>
      </c>
      <c r="CD6" t="str">
        <v xml:space="preserve">Caps </v>
      </c>
      <c r="CE6" t="str">
        <v xml:space="preserve">Summer </v>
      </c>
      <c r="CT6" t="str">
        <v>Shoe</v>
      </c>
      <c r="CX6" t="str">
        <v>Loveseats</v>
      </c>
      <c r="DB6" t="str">
        <v>Queen</v>
      </c>
      <c r="DC6" t="str">
        <v xml:space="preserve">Outerwear - JKT </v>
      </c>
      <c r="DD6" t="str">
        <v>Shoe</v>
      </c>
      <c r="DE6" t="str">
        <v xml:space="preserve">Mittens / Gloves </v>
      </c>
      <c r="DF6" t="str">
        <v xml:space="preserve">Summer </v>
      </c>
      <c r="DG6" t="str">
        <v>Shoe</v>
      </c>
      <c r="DK6" t="str">
        <v>Filing Cabinets</v>
      </c>
      <c r="DO6" t="str">
        <v>Storage Benches</v>
      </c>
      <c r="DP6" t="str">
        <v>Solar- SOLAR</v>
      </c>
      <c r="DR6" t="str">
        <v>Roller Covers - ROLLR</v>
      </c>
      <c r="EF6" t="str">
        <v>Rolled Runners</v>
      </c>
      <c r="ER6" t="str">
        <v>Storage Benches</v>
      </c>
      <c r="ET6" t="str">
        <v>Packing Tape - PACK</v>
      </c>
      <c r="EY6" t="str">
        <v>Hand - HAND</v>
      </c>
      <c r="FF6" t="str">
        <v>Shoe</v>
      </c>
    </row>
    <row r="7" spans="1:169" x14ac:dyDescent="0.25">
      <c r="A7" t="str">
        <v>Flooring</v>
      </c>
      <c r="B7" t="str">
        <v>Automotive - AUTO</v>
      </c>
      <c r="C7" t="str">
        <v xml:space="preserve">Maine Sweatshirts </v>
      </c>
      <c r="D7" t="str">
        <v>Paper Goods - PAPER</v>
      </c>
      <c r="E7" t="str">
        <v>Sheets - SHEET</v>
      </c>
      <c r="F7" t="str">
        <v>Yarn - YARN</v>
      </c>
      <c r="G7" t="str">
        <v>Hardwood</v>
      </c>
      <c r="H7" t="str">
        <v>Bedroom Furniture</v>
      </c>
      <c r="I7" t="str">
        <v>Books - BOOKS</v>
      </c>
      <c r="J7" t="str">
        <v>Nuts &amp; Bolts - NNB</v>
      </c>
      <c r="K7" t="str">
        <v>Kitchen Gadgets - GADGE</v>
      </c>
      <c r="L7" t="str">
        <v>Treats/Chews - TREAT</v>
      </c>
      <c r="M7" t="str">
        <v>FAK</v>
      </c>
      <c r="Q7" t="str">
        <v>Fitness - FITN</v>
      </c>
      <c r="AC7" t="str">
        <v>Jumper Cables - CABLE</v>
      </c>
      <c r="AE7" t="str">
        <v xml:space="preserve">Swim </v>
      </c>
      <c r="AK7" t="str">
        <v>Platform Beds</v>
      </c>
      <c r="AL7" t="str">
        <v>Mattress Protectors</v>
      </c>
      <c r="AM7" t="str">
        <v>Nightstands</v>
      </c>
      <c r="AR7" t="str">
        <v xml:space="preserve">Outerwear - Pants </v>
      </c>
      <c r="AS7" t="str">
        <v xml:space="preserve">Packaged Tees </v>
      </c>
      <c r="AT7" t="str">
        <v xml:space="preserve">Winter </v>
      </c>
      <c r="BI7" t="str">
        <v>Wall Art</v>
      </c>
      <c r="BJ7" t="str">
        <v>Dining Tables</v>
      </c>
      <c r="BU7" t="str">
        <v>Snack - SNACK</v>
      </c>
      <c r="CC7" t="str">
        <v xml:space="preserve">Outerwear - Pants </v>
      </c>
      <c r="CD7" t="str">
        <v xml:space="preserve">Mittens / Gloves </v>
      </c>
      <c r="CE7" t="str">
        <v xml:space="preserve">Winter </v>
      </c>
      <c r="CT7" t="str">
        <v>Slippers - SLIP</v>
      </c>
      <c r="CX7" t="str">
        <v>Recliners</v>
      </c>
      <c r="DB7" t="str">
        <v>Twin</v>
      </c>
      <c r="DC7" t="str">
        <v xml:space="preserve">Outerwear - Pants </v>
      </c>
      <c r="DD7" t="str">
        <v>Slippers - SLIP</v>
      </c>
      <c r="DE7" t="str">
        <v xml:space="preserve">Packaged Tees </v>
      </c>
      <c r="DF7" t="str">
        <v xml:space="preserve">Winter </v>
      </c>
      <c r="DG7" t="str">
        <v>Slippers - SLIP</v>
      </c>
      <c r="DK7" t="str">
        <v>Office Chairs</v>
      </c>
      <c r="DO7" t="str">
        <v>Umbrellas &amp; Gazebos</v>
      </c>
      <c r="DR7" t="str">
        <v>Spray Paint - SPRAY</v>
      </c>
      <c r="EF7" t="str">
        <v>Runners</v>
      </c>
      <c r="ET7" t="str">
        <v>Painter's Tape - PAINT</v>
      </c>
      <c r="EY7" t="str">
        <v>Washcloths - WASH</v>
      </c>
      <c r="FF7" t="str">
        <v>Slippers - SLIP</v>
      </c>
    </row>
    <row r="8" spans="1:169" x14ac:dyDescent="0.25">
      <c r="A8" t="str">
        <v>Furniture</v>
      </c>
      <c r="B8" t="str">
        <v>Baby</v>
      </c>
      <c r="C8" t="str">
        <v>Mens - MENS</v>
      </c>
      <c r="E8" t="str">
        <v>Throw Rugs - RUGS</v>
      </c>
      <c r="G8" t="str">
        <v>Hybrid Plank</v>
      </c>
      <c r="H8" t="str">
        <v>Children's Furniture</v>
      </c>
      <c r="I8" t="str">
        <v>Bows</v>
      </c>
      <c r="J8" t="str">
        <v>Paint - PAINT</v>
      </c>
      <c r="K8" t="str">
        <v>Organization</v>
      </c>
      <c r="M8" t="str">
        <v>General - GEN</v>
      </c>
      <c r="Q8" t="str">
        <v>Football - FOOT</v>
      </c>
      <c r="AC8" t="str">
        <v>Lubricants - LUBE</v>
      </c>
      <c r="AE8" t="str">
        <v xml:space="preserve">Winter </v>
      </c>
      <c r="AL8" t="str">
        <v>Mattress Toppers (Foam, Latex, Feather, Cooling Gel)</v>
      </c>
      <c r="AM8" t="str">
        <v>Wardrobes/Armoires</v>
      </c>
      <c r="AR8" t="str">
        <v xml:space="preserve">Spring </v>
      </c>
      <c r="AS8" t="str">
        <v xml:space="preserve">Purses </v>
      </c>
      <c r="BJ8" t="str">
        <v>Sideboards</v>
      </c>
      <c r="CC8" t="str">
        <v xml:space="preserve">Spring </v>
      </c>
      <c r="CD8" t="str">
        <v xml:space="preserve">Purses </v>
      </c>
      <c r="CT8" t="str">
        <v>Snow Boots</v>
      </c>
      <c r="CX8" t="str">
        <v>Sectionals</v>
      </c>
      <c r="DB8" t="str">
        <v>Twin XL</v>
      </c>
      <c r="DC8" t="str">
        <v xml:space="preserve">Spring </v>
      </c>
      <c r="DD8" t="str">
        <v>Snow Boots</v>
      </c>
      <c r="DE8" t="str">
        <v xml:space="preserve">Purses </v>
      </c>
      <c r="DG8" t="str">
        <v>Snow Boots</v>
      </c>
      <c r="DR8" t="str">
        <v>Stain - STAIN</v>
      </c>
      <c r="EF8" t="str">
        <v>Scatter Rugs</v>
      </c>
      <c r="FF8" t="str">
        <v>Snow Boots</v>
      </c>
    </row>
    <row r="9" spans="1:169" x14ac:dyDescent="0.25">
      <c r="A9" t="str">
        <v>General - GEN</v>
      </c>
      <c r="B9" t="str">
        <v>Baby - BABY</v>
      </c>
      <c r="C9" t="str">
        <v xml:space="preserve">School Uniforms </v>
      </c>
      <c r="E9" t="str">
        <v>Towels - TOWEL</v>
      </c>
      <c r="G9" t="str">
        <v>Laminated Plank</v>
      </c>
      <c r="H9" t="str">
        <v>Console Tables</v>
      </c>
      <c r="I9" t="str">
        <v>Camping - CAMP</v>
      </c>
      <c r="J9" t="str">
        <v>Power Tools - POWER</v>
      </c>
      <c r="K9" t="str">
        <v>Small Appliances - SMALL</v>
      </c>
      <c r="M9" t="str">
        <v>Hardware - HDW</v>
      </c>
      <c r="Q9" t="str">
        <v>Golf - GOLF</v>
      </c>
      <c r="AL9" t="str">
        <v>Pillows (Memory foam, down, latex, cooling)</v>
      </c>
      <c r="AR9" t="str">
        <v xml:space="preserve">Summer </v>
      </c>
      <c r="AS9" t="str">
        <v>Underwear - UNDER</v>
      </c>
      <c r="CC9" t="str">
        <v xml:space="preserve">Summer </v>
      </c>
      <c r="CD9" t="str">
        <v>Underwear - UNDER</v>
      </c>
      <c r="CT9" t="str">
        <v>Transitional</v>
      </c>
      <c r="CX9" t="str">
        <v>Sofas</v>
      </c>
      <c r="DC9" t="str">
        <v xml:space="preserve">Summer </v>
      </c>
      <c r="DD9" t="str">
        <v>Transitional</v>
      </c>
      <c r="DE9" t="str">
        <v>Underwear - UNDER</v>
      </c>
      <c r="DG9" t="str">
        <v>Transitional</v>
      </c>
      <c r="DR9" t="str">
        <v>Tray Kits - KITS</v>
      </c>
      <c r="FF9" t="str">
        <v>Transitional</v>
      </c>
    </row>
    <row r="10" spans="1:169" x14ac:dyDescent="0.25">
      <c r="A10" t="str">
        <v>Hardware - HDW</v>
      </c>
      <c r="B10" t="str">
        <v>Bakeware - BKW</v>
      </c>
      <c r="C10" t="str">
        <v xml:space="preserve">Scrubs </v>
      </c>
      <c r="G10" t="str">
        <v>Mats</v>
      </c>
      <c r="H10" t="str">
        <v>Décor &amp; Accessories</v>
      </c>
      <c r="I10" t="str">
        <v>Candles - CAND</v>
      </c>
      <c r="J10" t="str">
        <v>Rope - ROPE</v>
      </c>
      <c r="M10" t="str">
        <v>Housewares - HSW</v>
      </c>
      <c r="Q10" t="str">
        <v>Hockey - HOCK</v>
      </c>
      <c r="AL10" t="str">
        <v>Sheets (Various sizes &amp; materials)</v>
      </c>
      <c r="AR10" t="str">
        <v xml:space="preserve">Sweatshirts  / Sweatpants </v>
      </c>
      <c r="AS10" t="str">
        <v xml:space="preserve">Winter Hats </v>
      </c>
      <c r="CC10" t="str">
        <v xml:space="preserve">Sweatshirts  / Sweatpants </v>
      </c>
      <c r="CD10" t="str">
        <v xml:space="preserve">Winter Hats </v>
      </c>
      <c r="CX10" t="str">
        <v>TV Stands/Entertainment Center</v>
      </c>
      <c r="DC10" t="str">
        <v xml:space="preserve">Sweatshirts  / Sweatpants </v>
      </c>
      <c r="DE10" t="str">
        <v xml:space="preserve">Winter Hats </v>
      </c>
    </row>
    <row r="11" spans="1:169" x14ac:dyDescent="0.25">
      <c r="A11" t="str">
        <v>Housewares - HSW</v>
      </c>
      <c r="B11" t="str">
        <v>Baseball - BASE</v>
      </c>
      <c r="C11" t="str">
        <v>Womens - WOMEN</v>
      </c>
      <c r="G11" t="str">
        <v>Pad</v>
      </c>
      <c r="H11" t="str">
        <v>Dining Room</v>
      </c>
      <c r="I11" t="str">
        <v>Electronics - ELEC</v>
      </c>
      <c r="J11" t="str">
        <v>Snow - SNOW</v>
      </c>
      <c r="M11" t="str">
        <v>Pets - PETS</v>
      </c>
      <c r="Q11" t="str">
        <v>Hunting - HUNT</v>
      </c>
      <c r="AL11" t="str">
        <v>Under-bed Storage Solutions</v>
      </c>
      <c r="AR11" t="str">
        <v xml:space="preserve">Swim </v>
      </c>
      <c r="CC11" t="str">
        <v xml:space="preserve">Swim </v>
      </c>
      <c r="DC11" t="str">
        <v xml:space="preserve">Swim </v>
      </c>
    </row>
    <row r="12" spans="1:169" x14ac:dyDescent="0.25">
      <c r="A12" t="str">
        <v>Pets - PETS</v>
      </c>
      <c r="B12" t="str">
        <v>Basketball - BBALL</v>
      </c>
      <c r="G12" t="str">
        <v>Rugs</v>
      </c>
      <c r="H12" t="str">
        <v>Hall Trees &amp; Coat Racks</v>
      </c>
      <c r="I12" t="str">
        <v>Floor Cleaners - FLCLN</v>
      </c>
      <c r="J12" t="str">
        <v>Tape - TAPE</v>
      </c>
      <c r="M12" t="str">
        <v>Shoes - SHO</v>
      </c>
      <c r="Q12" t="str">
        <v>Ice Fishing - ICE</v>
      </c>
      <c r="AR12" t="str">
        <v xml:space="preserve">Winter </v>
      </c>
      <c r="CC12" t="str">
        <v xml:space="preserve">Winter </v>
      </c>
      <c r="DC12" t="str">
        <v xml:space="preserve">Winter </v>
      </c>
    </row>
    <row r="13" spans="1:169" x14ac:dyDescent="0.25">
      <c r="A13" t="str">
        <v>SALVAGE</v>
      </c>
      <c r="B13" t="str">
        <v>Batteries - BATT</v>
      </c>
      <c r="G13" t="str">
        <v>Stair Treads</v>
      </c>
      <c r="H13" t="str">
        <v>Living Room</v>
      </c>
      <c r="I13" t="str">
        <v>Frames - FRAME</v>
      </c>
      <c r="J13" t="str">
        <v>Tarps - TARPS</v>
      </c>
      <c r="M13" t="str">
        <v>Socks - SOCKS</v>
      </c>
      <c r="Q13" t="str">
        <v>Pickleball- PKL</v>
      </c>
    </row>
    <row r="14" spans="1:169" x14ac:dyDescent="0.25">
      <c r="A14" t="str">
        <v>Shoes - SHO</v>
      </c>
      <c r="B14" t="str">
        <v>BBQ Items - BBQ</v>
      </c>
      <c r="G14" t="str">
        <v>Tile</v>
      </c>
      <c r="H14" t="str">
        <v>Mattresses</v>
      </c>
      <c r="I14" t="str">
        <v>Gift Bags - BAGS</v>
      </c>
      <c r="J14" t="str">
        <v>Work Gloves - GLOVE</v>
      </c>
      <c r="M14" t="str">
        <v>Softlines Acc - ACC</v>
      </c>
      <c r="Q14" t="str">
        <v>Playground Balls - PGB</v>
      </c>
    </row>
    <row r="15" spans="1:169" x14ac:dyDescent="0.25">
      <c r="A15" t="str">
        <v>Socks - SOCKS</v>
      </c>
      <c r="B15" t="str">
        <v>Bed Bases &amp; Frames</v>
      </c>
      <c r="G15" t="str">
        <v>Vinyl</v>
      </c>
      <c r="H15" t="str">
        <v>Office Furniture</v>
      </c>
      <c r="I15" t="str">
        <v>Gift Boxes - BOX</v>
      </c>
      <c r="M15" t="str">
        <v>Sporting Goods - SPO</v>
      </c>
      <c r="Q15" t="str">
        <v>Soccer - SOCC</v>
      </c>
    </row>
    <row r="16" spans="1:169" x14ac:dyDescent="0.25">
      <c r="A16" t="str">
        <v>Softlines Acc - ACC</v>
      </c>
      <c r="B16" t="str">
        <v>Bedding &amp; Accessories</v>
      </c>
      <c r="G16" t="str">
        <v>Vinyl Plank</v>
      </c>
      <c r="H16" t="str">
        <v>Ottomans &amp; Poufs</v>
      </c>
      <c r="I16" t="str">
        <v>Gift Tags - TAGS</v>
      </c>
      <c r="M16" t="str">
        <v>Store Use - STR</v>
      </c>
    </row>
    <row r="17" spans="1:9" x14ac:dyDescent="0.25">
      <c r="A17" t="str">
        <v>Sporting Goods - SPO</v>
      </c>
      <c r="B17" t="str">
        <v>Bedroom Furniture</v>
      </c>
      <c r="H17" t="str">
        <v>Outdoor Furniture</v>
      </c>
      <c r="I17" t="str">
        <v>Greeting Cards - CARDS</v>
      </c>
    </row>
    <row r="18" spans="1:9" x14ac:dyDescent="0.25">
      <c r="A18" t="str">
        <v>Store Use - STR</v>
      </c>
      <c r="B18" t="str">
        <v>Blankets - BLANK</v>
      </c>
      <c r="H18" t="str">
        <v>Storage Solutions</v>
      </c>
      <c r="I18" t="str">
        <v>Luggage - LUGG</v>
      </c>
    </row>
    <row r="19" spans="1:9" x14ac:dyDescent="0.25">
      <c r="B19" t="str">
        <v>Boating - BOAT</v>
      </c>
      <c r="I19" t="str">
        <v>Office Supplies - OFFIC</v>
      </c>
    </row>
    <row r="20" spans="1:9" x14ac:dyDescent="0.25">
      <c r="B20" t="str">
        <v>Books - BOOKS</v>
      </c>
      <c r="I20" t="str">
        <v>Outdoor- OUTDR</v>
      </c>
    </row>
    <row r="21" spans="1:9" x14ac:dyDescent="0.25">
      <c r="B21" t="str">
        <v>Bows</v>
      </c>
      <c r="I21" t="str">
        <v>Party Goods - PARTY</v>
      </c>
    </row>
    <row r="22" spans="1:9" x14ac:dyDescent="0.25">
      <c r="B22" t="str">
        <v>Boys - BOYS</v>
      </c>
      <c r="I22" t="str">
        <v>Planters - PLANT</v>
      </c>
    </row>
    <row r="23" spans="1:9" x14ac:dyDescent="0.25">
      <c r="B23" t="str">
        <v>Boys Acc - BOYS</v>
      </c>
      <c r="I23" t="str">
        <v>Plastics (Trash Bags, Ziploc Bags, etc.) - PLAST</v>
      </c>
    </row>
    <row r="24" spans="1:9" x14ac:dyDescent="0.25">
      <c r="B24" t="str">
        <v>Boys Socks - BOYS</v>
      </c>
      <c r="I24" t="str">
        <v>Tissue Paper - TISS</v>
      </c>
    </row>
    <row r="25" spans="1:9" x14ac:dyDescent="0.25">
      <c r="B25" t="str">
        <v>Camping - CAMP</v>
      </c>
      <c r="I25" t="str">
        <v>Toys - TOYS</v>
      </c>
    </row>
    <row r="26" spans="1:9" x14ac:dyDescent="0.25">
      <c r="B26" t="str">
        <v>Candles - CAND</v>
      </c>
      <c r="I26" t="str">
        <v>Wall</v>
      </c>
    </row>
    <row r="27" spans="1:9" x14ac:dyDescent="0.25">
      <c r="B27" t="str">
        <v>Carpet</v>
      </c>
      <c r="I27" t="str">
        <v>Wrap</v>
      </c>
    </row>
    <row r="28" spans="1:9" x14ac:dyDescent="0.25">
      <c r="B28" t="str">
        <v>Carpet Cores</v>
      </c>
    </row>
    <row r="29" spans="1:9" x14ac:dyDescent="0.25">
      <c r="B29" t="str">
        <v>Carpet Tile</v>
      </c>
    </row>
    <row r="30" spans="1:9" x14ac:dyDescent="0.25">
      <c r="B30" t="str">
        <v>Children's Furniture</v>
      </c>
    </row>
    <row r="31" spans="1:9" x14ac:dyDescent="0.25">
      <c r="B31" t="str">
        <v>Cleaning Supplies - CLEAN</v>
      </c>
    </row>
    <row r="32" spans="1:9" x14ac:dyDescent="0.25">
      <c r="B32" t="str">
        <v>Clothing - CLO</v>
      </c>
    </row>
    <row r="33" spans="2:2" x14ac:dyDescent="0.25">
      <c r="B33" t="str">
        <v>Collars/Leashes - LEASH</v>
      </c>
    </row>
    <row r="34" spans="2:2" x14ac:dyDescent="0.25">
      <c r="B34" t="str">
        <v>Comforters - COMF</v>
      </c>
    </row>
    <row r="35" spans="2:2" x14ac:dyDescent="0.25">
      <c r="B35" t="str">
        <v>Console Tables</v>
      </c>
    </row>
    <row r="36" spans="2:2" x14ac:dyDescent="0.25">
      <c r="B36" t="str">
        <v>Consumables - CON</v>
      </c>
    </row>
    <row r="37" spans="2:2" x14ac:dyDescent="0.25">
      <c r="B37" t="str">
        <v>Cookware - CKW</v>
      </c>
    </row>
    <row r="38" spans="2:2" x14ac:dyDescent="0.25">
      <c r="B38" t="str">
        <v>Curtains/Drapes - CURT</v>
      </c>
    </row>
    <row r="39" spans="2:2" x14ac:dyDescent="0.25">
      <c r="B39" t="str">
        <v>Décor &amp; Accessories</v>
      </c>
    </row>
    <row r="40" spans="2:2" x14ac:dyDescent="0.25">
      <c r="B40" t="str">
        <v>Dining Room</v>
      </c>
    </row>
    <row r="41" spans="2:2" x14ac:dyDescent="0.25">
      <c r="B41" t="str">
        <v>Dinnerware - DINN</v>
      </c>
    </row>
    <row r="42" spans="2:2" x14ac:dyDescent="0.25">
      <c r="B42" t="str">
        <v>Domestics - DOM</v>
      </c>
    </row>
    <row r="43" spans="2:2" x14ac:dyDescent="0.25">
      <c r="B43" t="str">
        <v>Electronics - ELEC</v>
      </c>
    </row>
    <row r="44" spans="2:2" x14ac:dyDescent="0.25">
      <c r="B44" t="str">
        <v>Fabric - FAB</v>
      </c>
    </row>
    <row r="45" spans="2:2" x14ac:dyDescent="0.25">
      <c r="B45" t="str">
        <v>Fabric Yards - YARDS</v>
      </c>
    </row>
    <row r="46" spans="2:2" x14ac:dyDescent="0.25">
      <c r="B46" t="str">
        <v>FAK</v>
      </c>
    </row>
    <row r="47" spans="2:2" x14ac:dyDescent="0.25">
      <c r="B47" t="str">
        <v>Fishing - FISH</v>
      </c>
    </row>
    <row r="48" spans="2:2" x14ac:dyDescent="0.25">
      <c r="B48" t="str">
        <v>Fitness - FITN</v>
      </c>
    </row>
    <row r="49" spans="2:2" x14ac:dyDescent="0.25">
      <c r="B49" t="str">
        <v>Flashlights - FLASH</v>
      </c>
    </row>
    <row r="50" spans="2:2" x14ac:dyDescent="0.25">
      <c r="B50" t="str">
        <v>Floor Cleaners - FLCLN</v>
      </c>
    </row>
    <row r="51" spans="2:2" x14ac:dyDescent="0.25">
      <c r="B51" t="str">
        <v>Food - FOOD</v>
      </c>
    </row>
    <row r="52" spans="2:2" x14ac:dyDescent="0.25">
      <c r="B52" t="str">
        <v>Football - FOOT</v>
      </c>
    </row>
    <row r="53" spans="2:2" x14ac:dyDescent="0.25">
      <c r="B53" t="str">
        <v>Frames - FRAME</v>
      </c>
    </row>
    <row r="54" spans="2:2" x14ac:dyDescent="0.25">
      <c r="B54" t="str">
        <v>Garden - GARD</v>
      </c>
    </row>
    <row r="55" spans="2:2" x14ac:dyDescent="0.25">
      <c r="B55" t="str">
        <v>General - GEN</v>
      </c>
    </row>
    <row r="56" spans="2:2" x14ac:dyDescent="0.25">
      <c r="B56" t="str">
        <v>Gift Bags - BAGS</v>
      </c>
    </row>
    <row r="57" spans="2:2" x14ac:dyDescent="0.25">
      <c r="B57" t="str">
        <v>Gift Boxes - BOX</v>
      </c>
    </row>
    <row r="58" spans="2:2" x14ac:dyDescent="0.25">
      <c r="B58" t="str">
        <v>Gift Tags - TAGS</v>
      </c>
    </row>
    <row r="59" spans="2:2" x14ac:dyDescent="0.25">
      <c r="B59" t="str">
        <v>Girls - GIRLS</v>
      </c>
    </row>
    <row r="60" spans="2:2" x14ac:dyDescent="0.25">
      <c r="B60" t="str">
        <v>Girls Acc - GIRLS</v>
      </c>
    </row>
    <row r="61" spans="2:2" x14ac:dyDescent="0.25">
      <c r="B61" t="str">
        <v>Girls Socks - GIRLS</v>
      </c>
    </row>
    <row r="62" spans="2:2" x14ac:dyDescent="0.25">
      <c r="B62" t="str">
        <v>Glassware - GLASS</v>
      </c>
    </row>
    <row r="63" spans="2:2" x14ac:dyDescent="0.25">
      <c r="B63" t="str">
        <v>Golf - GOLF</v>
      </c>
    </row>
    <row r="64" spans="2:2" x14ac:dyDescent="0.25">
      <c r="B64" t="str">
        <v>Greeting Cards - CARDS</v>
      </c>
    </row>
    <row r="65" spans="2:2" x14ac:dyDescent="0.25">
      <c r="B65" t="str">
        <v>Hall Trees &amp; Coat Racks</v>
      </c>
    </row>
    <row r="66" spans="2:2" x14ac:dyDescent="0.25">
      <c r="B66" t="str">
        <v>Hand Tools - HAND</v>
      </c>
    </row>
    <row r="67" spans="2:2" x14ac:dyDescent="0.25">
      <c r="B67" t="str">
        <v>Hardware - HDW</v>
      </c>
    </row>
    <row r="68" spans="2:2" x14ac:dyDescent="0.25">
      <c r="B68" t="str">
        <v>Hardwood</v>
      </c>
    </row>
    <row r="69" spans="2:2" x14ac:dyDescent="0.25">
      <c r="B69" t="str">
        <v>HBC/HBA - HBC</v>
      </c>
    </row>
    <row r="70" spans="2:2" x14ac:dyDescent="0.25">
      <c r="B70" t="str">
        <v>Hockey - HOCK</v>
      </c>
    </row>
    <row r="71" spans="2:2" x14ac:dyDescent="0.25">
      <c r="B71" t="str">
        <v>Housewares - HSW</v>
      </c>
    </row>
    <row r="72" spans="2:2" x14ac:dyDescent="0.25">
      <c r="B72" t="str">
        <v xml:space="preserve">Hunting </v>
      </c>
    </row>
    <row r="73" spans="2:2" x14ac:dyDescent="0.25">
      <c r="B73" t="str">
        <v>Hunting - HUNT</v>
      </c>
    </row>
    <row r="74" spans="2:2" x14ac:dyDescent="0.25">
      <c r="B74" t="str">
        <v>Hybrid Plank</v>
      </c>
    </row>
    <row r="75" spans="2:2" x14ac:dyDescent="0.25">
      <c r="B75" t="str">
        <v>Ice Fishing - ICE</v>
      </c>
    </row>
    <row r="76" spans="2:2" x14ac:dyDescent="0.25">
      <c r="B76" t="str">
        <v>Kids - SKIDS</v>
      </c>
    </row>
    <row r="77" spans="2:2" x14ac:dyDescent="0.25">
      <c r="B77" t="str">
        <v>Kitchen Gadgets - GADGE</v>
      </c>
    </row>
    <row r="78" spans="2:2" x14ac:dyDescent="0.25">
      <c r="B78" t="str">
        <v>Laminated Plank</v>
      </c>
    </row>
    <row r="79" spans="2:2" x14ac:dyDescent="0.25">
      <c r="B79" t="str">
        <v>Laundry - LAUN</v>
      </c>
    </row>
    <row r="80" spans="2:2" x14ac:dyDescent="0.25">
      <c r="B80" t="str">
        <v>Living Room</v>
      </c>
    </row>
    <row r="81" spans="2:2" x14ac:dyDescent="0.25">
      <c r="B81" t="str">
        <v>Luggage - LUGG</v>
      </c>
    </row>
    <row r="82" spans="2:2" x14ac:dyDescent="0.25">
      <c r="B82" t="str">
        <v xml:space="preserve">Maine Sweatshirts </v>
      </c>
    </row>
    <row r="83" spans="2:2" x14ac:dyDescent="0.25">
      <c r="B83" t="str">
        <v>Mats</v>
      </c>
    </row>
    <row r="84" spans="2:2" x14ac:dyDescent="0.25">
      <c r="B84" t="str">
        <v>Mattresses</v>
      </c>
    </row>
    <row r="85" spans="2:2" x14ac:dyDescent="0.25">
      <c r="B85" t="str">
        <v>Mens - MENS</v>
      </c>
    </row>
    <row r="86" spans="2:2" x14ac:dyDescent="0.25">
      <c r="B86" t="str">
        <v>Mens - SMENS</v>
      </c>
    </row>
    <row r="87" spans="2:2" x14ac:dyDescent="0.25">
      <c r="B87" t="str">
        <v>Mens Acc - MENS</v>
      </c>
    </row>
    <row r="88" spans="2:2" x14ac:dyDescent="0.25">
      <c r="B88" t="str">
        <v>Mens Socks - MENS</v>
      </c>
    </row>
    <row r="89" spans="2:2" x14ac:dyDescent="0.25">
      <c r="B89" t="str">
        <v>Mixed gender</v>
      </c>
    </row>
    <row r="90" spans="2:2" x14ac:dyDescent="0.25">
      <c r="B90" t="str">
        <v>Monks Cloth</v>
      </c>
    </row>
    <row r="91" spans="2:2" x14ac:dyDescent="0.25">
      <c r="B91" t="str">
        <v>Notions - NOT</v>
      </c>
    </row>
    <row r="92" spans="2:2" x14ac:dyDescent="0.25">
      <c r="B92" t="str">
        <v>Nuts &amp; Bolts - NNB</v>
      </c>
    </row>
    <row r="93" spans="2:2" x14ac:dyDescent="0.25">
      <c r="B93" t="str">
        <v>Office Furniture</v>
      </c>
    </row>
    <row r="94" spans="2:2" x14ac:dyDescent="0.25">
      <c r="B94" t="str">
        <v>Office Supplies - OFFIC</v>
      </c>
    </row>
    <row r="95" spans="2:2" x14ac:dyDescent="0.25">
      <c r="B95" t="str">
        <v>Organization</v>
      </c>
    </row>
    <row r="96" spans="2:2" x14ac:dyDescent="0.25">
      <c r="B96" t="str">
        <v>Ottomans &amp; Poufs</v>
      </c>
    </row>
    <row r="97" spans="2:2" x14ac:dyDescent="0.25">
      <c r="B97" t="str">
        <v>Outdoor Furniture</v>
      </c>
    </row>
    <row r="98" spans="2:2" x14ac:dyDescent="0.25">
      <c r="B98" t="str">
        <v>Outdoor- OUTDR</v>
      </c>
    </row>
    <row r="99" spans="2:2" x14ac:dyDescent="0.25">
      <c r="B99" t="str">
        <v>Pad</v>
      </c>
    </row>
    <row r="100" spans="2:2" x14ac:dyDescent="0.25">
      <c r="B100" t="str">
        <v>Paint - PAINT</v>
      </c>
    </row>
    <row r="101" spans="2:2" x14ac:dyDescent="0.25">
      <c r="B101" t="str">
        <v>Paper Goods - PAPER</v>
      </c>
    </row>
    <row r="102" spans="2:2" x14ac:dyDescent="0.25">
      <c r="B102" t="str">
        <v>Party Goods - PARTY</v>
      </c>
    </row>
    <row r="103" spans="2:2" x14ac:dyDescent="0.25">
      <c r="B103" t="str">
        <v>Pet Beds - BEDS</v>
      </c>
    </row>
    <row r="104" spans="2:2" x14ac:dyDescent="0.25">
      <c r="B104" t="str">
        <v>Pet Food - PFOOD</v>
      </c>
    </row>
    <row r="105" spans="2:2" x14ac:dyDescent="0.25">
      <c r="B105" t="str">
        <v>Pet Toys - PTOYS</v>
      </c>
    </row>
    <row r="106" spans="2:2" x14ac:dyDescent="0.25">
      <c r="B106" t="str">
        <v>Pets - PETS</v>
      </c>
    </row>
    <row r="107" spans="2:2" x14ac:dyDescent="0.25">
      <c r="B107" t="str">
        <v>Pickleball- PKL</v>
      </c>
    </row>
    <row r="108" spans="2:2" x14ac:dyDescent="0.25">
      <c r="B108" t="str">
        <v>Pillows - PILLW</v>
      </c>
    </row>
    <row r="109" spans="2:2" x14ac:dyDescent="0.25">
      <c r="B109" t="str">
        <v>Planters - PLANT</v>
      </c>
    </row>
    <row r="110" spans="2:2" x14ac:dyDescent="0.25">
      <c r="B110" t="str">
        <v>Plastics (Trash Bags, Ziploc Bags, etc.) - PLAST</v>
      </c>
    </row>
    <row r="111" spans="2:2" x14ac:dyDescent="0.25">
      <c r="B111" t="str">
        <v>Playground Balls - PGB</v>
      </c>
    </row>
    <row r="112" spans="2:2" x14ac:dyDescent="0.25">
      <c r="B112" t="str">
        <v>Power Tools - POWER</v>
      </c>
    </row>
    <row r="113" spans="2:2" x14ac:dyDescent="0.25">
      <c r="B113" t="str">
        <v>Rope - ROPE</v>
      </c>
    </row>
    <row r="114" spans="2:2" x14ac:dyDescent="0.25">
      <c r="B114" t="str">
        <v>Rugs</v>
      </c>
    </row>
    <row r="115" spans="2:2" x14ac:dyDescent="0.25">
      <c r="B115" t="str">
        <v xml:space="preserve">School Uniforms </v>
      </c>
    </row>
    <row r="116" spans="2:2" x14ac:dyDescent="0.25">
      <c r="B116" t="str">
        <v xml:space="preserve">Scrubs </v>
      </c>
    </row>
    <row r="117" spans="2:2" x14ac:dyDescent="0.25">
      <c r="B117" t="str">
        <v>Sheets - SHEET</v>
      </c>
    </row>
    <row r="118" spans="2:2" x14ac:dyDescent="0.25">
      <c r="B118" t="str">
        <v>Shoes - SHO</v>
      </c>
    </row>
    <row r="119" spans="2:2" x14ac:dyDescent="0.25">
      <c r="B119" t="str">
        <v>Small Appliances - SMALL</v>
      </c>
    </row>
    <row r="120" spans="2:2" x14ac:dyDescent="0.25">
      <c r="B120" t="str">
        <v>Snow - SNOW</v>
      </c>
    </row>
    <row r="121" spans="2:2" x14ac:dyDescent="0.25">
      <c r="B121" t="str">
        <v>Soccer - SOCC</v>
      </c>
    </row>
    <row r="122" spans="2:2" x14ac:dyDescent="0.25">
      <c r="B122" t="str">
        <v>Socks - SOCKS</v>
      </c>
    </row>
    <row r="123" spans="2:2" x14ac:dyDescent="0.25">
      <c r="B123" t="str">
        <v>Softlines Acc - ACC</v>
      </c>
    </row>
    <row r="124" spans="2:2" x14ac:dyDescent="0.25">
      <c r="B124" t="str">
        <v>Sporting Goods - SPO</v>
      </c>
    </row>
    <row r="125" spans="2:2" x14ac:dyDescent="0.25">
      <c r="B125" t="str">
        <v>Stair Treads</v>
      </c>
    </row>
    <row r="126" spans="2:2" x14ac:dyDescent="0.25">
      <c r="B126" t="str">
        <v>Storage Solutions</v>
      </c>
    </row>
    <row r="127" spans="2:2" x14ac:dyDescent="0.25">
      <c r="B127" t="str">
        <v>Store Use - STR</v>
      </c>
    </row>
    <row r="128" spans="2:2" x14ac:dyDescent="0.25">
      <c r="B128" t="str">
        <v>Tape - TAPE</v>
      </c>
    </row>
    <row r="129" spans="2:2" x14ac:dyDescent="0.25">
      <c r="B129" t="str">
        <v>Tarps - TARPS</v>
      </c>
    </row>
    <row r="130" spans="2:2" x14ac:dyDescent="0.25">
      <c r="B130" t="str">
        <v>Throw Rugs - RUGS</v>
      </c>
    </row>
    <row r="131" spans="2:2" x14ac:dyDescent="0.25">
      <c r="B131" t="str">
        <v>Tile</v>
      </c>
    </row>
    <row r="132" spans="2:2" x14ac:dyDescent="0.25">
      <c r="B132" t="str">
        <v>Tissue Paper - TISS</v>
      </c>
    </row>
    <row r="133" spans="2:2" x14ac:dyDescent="0.25">
      <c r="B133" t="str">
        <v>Towels - TOWEL</v>
      </c>
    </row>
    <row r="134" spans="2:2" x14ac:dyDescent="0.25">
      <c r="B134" t="str">
        <v>Toys - TOYS</v>
      </c>
    </row>
    <row r="135" spans="2:2" x14ac:dyDescent="0.25">
      <c r="B135" t="str">
        <v>Treats/Chews - TREAT</v>
      </c>
    </row>
    <row r="136" spans="2:2" x14ac:dyDescent="0.25">
      <c r="B136" t="str">
        <v>Utility - UTIL</v>
      </c>
    </row>
    <row r="137" spans="2:2" x14ac:dyDescent="0.25">
      <c r="B137" t="str">
        <v>Vinyl</v>
      </c>
    </row>
    <row r="138" spans="2:2" x14ac:dyDescent="0.25">
      <c r="B138" t="str">
        <v>Vinyl Plank</v>
      </c>
    </row>
    <row r="139" spans="2:2" x14ac:dyDescent="0.25">
      <c r="B139" t="str">
        <v>Wall</v>
      </c>
    </row>
    <row r="140" spans="2:2" x14ac:dyDescent="0.25">
      <c r="B140" t="str">
        <v>Womens - SWMNS</v>
      </c>
    </row>
    <row r="141" spans="2:2" x14ac:dyDescent="0.25">
      <c r="B141" t="str">
        <v>Womens - WOMEN</v>
      </c>
    </row>
    <row r="142" spans="2:2" x14ac:dyDescent="0.25">
      <c r="B142" t="str">
        <v>Womens Acc - WOMEN</v>
      </c>
    </row>
    <row r="143" spans="2:2" x14ac:dyDescent="0.25">
      <c r="B143" t="str">
        <v>Womens Socks - WOMEN</v>
      </c>
    </row>
    <row r="144" spans="2:2" x14ac:dyDescent="0.25">
      <c r="B144" t="str">
        <v>Work Gloves - GLOVE</v>
      </c>
    </row>
    <row r="145" spans="2:2" x14ac:dyDescent="0.25">
      <c r="B145" t="str">
        <v>Wrap</v>
      </c>
    </row>
    <row r="146" spans="2:2" x14ac:dyDescent="0.25">
      <c r="B146" t="str">
        <v>Yarn - YARN</v>
      </c>
    </row>
    <row r="200" spans="1:3" ht="18" thickBot="1" x14ac:dyDescent="0.35">
      <c r="A200" s="19" t="s">
        <v>585</v>
      </c>
      <c r="C200" s="19" t="s">
        <v>586</v>
      </c>
    </row>
    <row r="201" spans="1:3" ht="15.75" thickTop="1" x14ac:dyDescent="0.25">
      <c r="A201" s="4" t="s">
        <v>34</v>
      </c>
      <c r="C201" s="4" t="s">
        <v>37</v>
      </c>
    </row>
    <row r="202" spans="1:3" x14ac:dyDescent="0.25">
      <c r="A202" t="str" cm="1">
        <f t="array" ref="A202:A211">_xlfn._xlws.SORT(_xlfn.UNIQUE(_xlfn.TOCOL(BuyerTable[Name],1)))</f>
        <v>Andrew Marden</v>
      </c>
      <c r="C202" t="str" cm="1">
        <f t="array" ref="C202:C205">_xlfn.UNIQUE(_xlfn.TOCOL(WarehouseTable[Location],1))</f>
        <v>Winslow</v>
      </c>
    </row>
    <row r="203" spans="1:3" x14ac:dyDescent="0.25">
      <c r="A203" t="str">
        <v>Brandon Lowe</v>
      </c>
      <c r="C203" t="str">
        <v>Lewiston Mill</v>
      </c>
    </row>
    <row r="204" spans="1:3" x14ac:dyDescent="0.25">
      <c r="A204" t="str">
        <v>Charley Willey</v>
      </c>
      <c r="C204" t="str">
        <v>Wtvl - 50 Industrial</v>
      </c>
    </row>
    <row r="205" spans="1:3" x14ac:dyDescent="0.25">
      <c r="A205" t="str">
        <v>Elizabeth Beuthiaume</v>
      </c>
      <c r="C205" t="str">
        <v>Multiple Warehouses</v>
      </c>
    </row>
    <row r="206" spans="1:3" x14ac:dyDescent="0.25">
      <c r="A206" t="str">
        <v>Ham Marden</v>
      </c>
    </row>
    <row r="207" spans="1:3" x14ac:dyDescent="0.25">
      <c r="A207" t="str">
        <v>Jake Marden</v>
      </c>
    </row>
    <row r="208" spans="1:3" x14ac:dyDescent="0.25">
      <c r="A208" t="str">
        <v>John Marden</v>
      </c>
    </row>
    <row r="209" spans="1:1" x14ac:dyDescent="0.25">
      <c r="A209" t="str">
        <v>Jon Martin</v>
      </c>
    </row>
    <row r="210" spans="1:1" x14ac:dyDescent="0.25">
      <c r="A210" t="str">
        <v>Ken Clark</v>
      </c>
    </row>
    <row r="211" spans="1:1" x14ac:dyDescent="0.25">
      <c r="A211" t="str">
        <v>Sara Marden Slattery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F4DCAF2CA2B5409B9C856FB92C7629" ma:contentTypeVersion="14" ma:contentTypeDescription="Create a new document." ma:contentTypeScope="" ma:versionID="ed72960b5c5821eee98413ac2931ef1d">
  <xsd:schema xmlns:xsd="http://www.w3.org/2001/XMLSchema" xmlns:xs="http://www.w3.org/2001/XMLSchema" xmlns:p="http://schemas.microsoft.com/office/2006/metadata/properties" xmlns:ns2="689d66ed-97c4-49a8-a16f-f3b99047c3f3" xmlns:ns3="fc9ea893-d724-4b32-9529-9a7224377b56" targetNamespace="http://schemas.microsoft.com/office/2006/metadata/properties" ma:root="true" ma:fieldsID="b657db98d9439a29d844d68f3981eddb" ns2:_="" ns3:_="">
    <xsd:import namespace="689d66ed-97c4-49a8-a16f-f3b99047c3f3"/>
    <xsd:import namespace="fc9ea893-d724-4b32-9529-9a7224377b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ShipsFrom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d66ed-97c4-49a8-a16f-f3b99047c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c9bfb40-7d4e-4c40-b2a2-fa28e13beb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ShipsFrom" ma:index="20" ma:displayName="Ships From" ma:format="Dropdown" ma:internalName="ShipsFrom">
      <xsd:simpleType>
        <xsd:restriction base="dms:Note">
          <xsd:maxLength value="255"/>
        </xsd:restriction>
      </xsd:simpleType>
    </xsd:element>
    <xsd:element name="Notes" ma:index="21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9ea893-d724-4b32-9529-9a7224377b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7d03f7-c7e6-4fbc-9dd0-edefb10b7f1e}" ma:internalName="TaxCatchAll" ma:showField="CatchAllData" ma:web="fc9ea893-d724-4b32-9529-9a7224377b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689d66ed-97c4-49a8-a16f-f3b99047c3f3" xsi:nil="true"/>
    <TaxCatchAll xmlns="fc9ea893-d724-4b32-9529-9a7224377b56" xsi:nil="true"/>
    <ShipsFrom xmlns="689d66ed-97c4-49a8-a16f-f3b99047c3f3">Add address the items ship from</ShipsFrom>
    <lcf76f155ced4ddcb4097134ff3c332f xmlns="689d66ed-97c4-49a8-a16f-f3b99047c3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67085C-C709-4985-95DF-EBA811052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9d66ed-97c4-49a8-a16f-f3b99047c3f3"/>
    <ds:schemaRef ds:uri="fc9ea893-d724-4b32-9529-9a7224377b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804CB9-B864-41E0-BC96-F61BFFB267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DB724A-2AC7-4A39-8331-B1B786362043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c9ea893-d724-4b32-9529-9a7224377b56"/>
    <ds:schemaRef ds:uri="689d66ed-97c4-49a8-a16f-f3b99047c3f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Purchase Order</vt:lpstr>
      <vt:lpstr>Categories Breakdown</vt:lpstr>
      <vt:lpstr>Furniture Flooring Buyer notes</vt:lpstr>
      <vt:lpstr>Cheat Sheet for Buyers</vt:lpstr>
      <vt:lpstr>DropDownLists</vt:lpstr>
      <vt:lpstr>Buyers</vt:lpstr>
      <vt:lpstr>DepartmentList</vt:lpstr>
      <vt:lpstr>LocationList</vt:lpstr>
      <vt:lpstr>WarehouseAddresses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Marden Slattery</dc:creator>
  <cp:keywords/>
  <dc:description/>
  <cp:lastModifiedBy>Drew Chase</cp:lastModifiedBy>
  <cp:revision/>
  <dcterms:created xsi:type="dcterms:W3CDTF">2025-11-24T19:27:51Z</dcterms:created>
  <dcterms:modified xsi:type="dcterms:W3CDTF">2026-02-09T19:37:39Z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0x010100A6F4DCAF2CA2B5409B9C856FB92C7629</vt:lpwstr>
  </property>
  <property fmtid="{D5CDD505-2E9C-101B-9397-08002B2CF9AE}" pid="3" name="MediaServiceImageTags">
    <vt:lpwstr/>
  </property>
</Properties>
</file>